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.xml" ContentType="application/vnd.openxmlformats-officedocument.drawing+xml"/>
  <Override PartName="/xl/tables/table2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20CA2E7-30FA-4CC0-81F2-E76AA4CB659B}" xr6:coauthVersionLast="47" xr6:coauthVersionMax="47" xr10:uidLastSave="{00000000-0000-0000-0000-000000000000}"/>
  <bookViews>
    <workbookView xWindow="-108" yWindow="-108" windowWidth="23256" windowHeight="12576" tabRatio="832" xr2:uid="{0C0A5400-4690-4F6A-9539-1AC3130F3645}"/>
  </bookViews>
  <sheets>
    <sheet name="ENERO" sheetId="14" r:id="rId1"/>
    <sheet name="FEBRERO" sheetId="15" r:id="rId2"/>
    <sheet name="MARZO" sheetId="16" r:id="rId3"/>
    <sheet name="ABRIL" sheetId="17" r:id="rId4"/>
    <sheet name="MAYO" sheetId="3" r:id="rId5"/>
    <sheet name="JUNIO" sheetId="4" r:id="rId6"/>
    <sheet name="JULIO" sheetId="5" r:id="rId7"/>
    <sheet name="AGOSTO" sheetId="7" r:id="rId8"/>
    <sheet name="SEPTIEMBRE" sheetId="9" r:id="rId9"/>
    <sheet name="OCTUBRE" sheetId="10" r:id="rId10"/>
    <sheet name="NOVIEMBRE" sheetId="11" r:id="rId11"/>
    <sheet name="DICIEMBRE" sheetId="12" r:id="rId12"/>
    <sheet name="VENTAS 2026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7" i="14" l="1"/>
  <c r="T76" i="14"/>
  <c r="U76" i="14" s="1"/>
  <c r="T75" i="14"/>
  <c r="U75" i="14"/>
  <c r="T74" i="14"/>
  <c r="U74" i="14"/>
  <c r="T73" i="14"/>
  <c r="U73" i="14"/>
  <c r="T72" i="14"/>
  <c r="U72" i="14"/>
  <c r="T71" i="14"/>
  <c r="U71" i="14" s="1"/>
  <c r="T70" i="14"/>
  <c r="U70" i="14" s="1"/>
  <c r="T69" i="14"/>
  <c r="U69" i="14" s="1"/>
  <c r="T68" i="14"/>
  <c r="U68" i="14" s="1"/>
  <c r="T67" i="14"/>
  <c r="U67" i="14" s="1"/>
  <c r="T66" i="14"/>
  <c r="U66" i="14" s="1"/>
  <c r="T65" i="14"/>
  <c r="U65" i="14" s="1"/>
  <c r="T64" i="14"/>
  <c r="U64" i="14" s="1"/>
  <c r="T63" i="14"/>
  <c r="U63" i="14" s="1"/>
  <c r="T62" i="14"/>
  <c r="U62" i="14" s="1"/>
  <c r="T61" i="14"/>
  <c r="U61" i="14" s="1"/>
  <c r="T60" i="14"/>
  <c r="U60" i="14" s="1"/>
  <c r="T59" i="14"/>
  <c r="U59" i="14" s="1"/>
  <c r="T58" i="14"/>
  <c r="U58" i="14" s="1"/>
  <c r="T57" i="14"/>
  <c r="U57" i="14" s="1"/>
  <c r="T56" i="14"/>
  <c r="U56" i="14" s="1"/>
  <c r="T55" i="14"/>
  <c r="U55" i="14" s="1"/>
  <c r="T54" i="14"/>
  <c r="U54" i="14" s="1"/>
  <c r="T53" i="14"/>
  <c r="U53" i="14" s="1"/>
  <c r="T52" i="14"/>
  <c r="U52" i="14" s="1"/>
  <c r="T51" i="14"/>
  <c r="U51" i="14" s="1"/>
  <c r="T50" i="14"/>
  <c r="U50" i="14" s="1"/>
  <c r="B10" i="13"/>
  <c r="C5" i="13"/>
  <c r="C4" i="13"/>
  <c r="C3" i="13"/>
  <c r="C2" i="13"/>
  <c r="T58" i="12"/>
  <c r="T59" i="12"/>
  <c r="T60" i="12"/>
  <c r="U58" i="12"/>
  <c r="U59" i="12"/>
  <c r="U60" i="12"/>
  <c r="S53" i="9"/>
  <c r="B53" i="9"/>
  <c r="T52" i="9"/>
  <c r="U52" i="9" s="1"/>
  <c r="T51" i="9"/>
  <c r="U51" i="9" s="1"/>
  <c r="T50" i="9"/>
  <c r="U50" i="9" s="1"/>
  <c r="T49" i="9"/>
  <c r="U49" i="9" s="1"/>
  <c r="T48" i="9"/>
  <c r="U48" i="9" s="1"/>
  <c r="T47" i="9"/>
  <c r="U47" i="9" s="1"/>
  <c r="T46" i="9"/>
  <c r="U46" i="9" s="1"/>
  <c r="T45" i="9"/>
  <c r="U45" i="9" s="1"/>
  <c r="T44" i="9"/>
  <c r="U44" i="9" s="1"/>
  <c r="T43" i="9"/>
  <c r="U43" i="9" s="1"/>
  <c r="T42" i="9"/>
  <c r="U42" i="9" s="1"/>
  <c r="T41" i="9"/>
  <c r="U41" i="9" s="1"/>
  <c r="T40" i="9"/>
  <c r="U40" i="9" s="1"/>
  <c r="T39" i="9"/>
  <c r="U39" i="9" s="1"/>
  <c r="T38" i="9"/>
  <c r="U38" i="9" s="1"/>
  <c r="T37" i="9"/>
  <c r="U37" i="9" s="1"/>
  <c r="T36" i="9"/>
  <c r="U36" i="9" s="1"/>
  <c r="T35" i="9"/>
  <c r="U35" i="9" s="1"/>
  <c r="T34" i="9"/>
  <c r="U34" i="9" s="1"/>
  <c r="T33" i="9"/>
  <c r="U33" i="9" s="1"/>
  <c r="T32" i="9"/>
  <c r="U32" i="9" s="1"/>
  <c r="T31" i="9"/>
  <c r="U31" i="9" s="1"/>
  <c r="T30" i="9"/>
  <c r="U30" i="9" s="1"/>
  <c r="T29" i="9"/>
  <c r="U29" i="9" s="1"/>
  <c r="T28" i="9"/>
  <c r="U28" i="9" s="1"/>
  <c r="T27" i="9"/>
  <c r="U27" i="9" s="1"/>
  <c r="T26" i="9"/>
  <c r="U26" i="9" s="1"/>
  <c r="T25" i="9"/>
  <c r="U25" i="9" s="1"/>
  <c r="T24" i="9"/>
  <c r="U24" i="9" s="1"/>
  <c r="T23" i="9"/>
  <c r="U23" i="9" s="1"/>
  <c r="T22" i="9"/>
  <c r="U22" i="9" s="1"/>
  <c r="T21" i="9"/>
  <c r="U21" i="9" s="1"/>
  <c r="T20" i="9"/>
  <c r="U20" i="9" s="1"/>
  <c r="T19" i="9"/>
  <c r="U19" i="9" s="1"/>
  <c r="T18" i="9"/>
  <c r="U18" i="9" s="1"/>
  <c r="T17" i="9"/>
  <c r="U17" i="9" s="1"/>
  <c r="T16" i="9"/>
  <c r="U16" i="9" s="1"/>
  <c r="T15" i="9"/>
  <c r="U15" i="9" s="1"/>
  <c r="T14" i="9"/>
  <c r="U14" i="9" s="1"/>
  <c r="T13" i="9"/>
  <c r="U13" i="9" s="1"/>
  <c r="T12" i="9"/>
  <c r="U12" i="9" s="1"/>
  <c r="T11" i="9"/>
  <c r="U11" i="9" s="1"/>
  <c r="T10" i="9"/>
  <c r="U10" i="9" s="1"/>
  <c r="T9" i="9"/>
  <c r="U9" i="9" s="1"/>
  <c r="T8" i="9"/>
  <c r="U8" i="9" s="1"/>
  <c r="T7" i="9"/>
  <c r="U7" i="9" s="1"/>
  <c r="T6" i="9"/>
  <c r="U6" i="9" s="1"/>
  <c r="T5" i="9"/>
  <c r="U5" i="9" s="1"/>
  <c r="T4" i="9"/>
  <c r="U4" i="9" s="1"/>
  <c r="T3" i="9"/>
  <c r="S50" i="17"/>
  <c r="B50" i="17"/>
  <c r="B5" i="13" s="1"/>
  <c r="U49" i="17"/>
  <c r="T49" i="17"/>
  <c r="T48" i="17"/>
  <c r="U48" i="17" s="1"/>
  <c r="T47" i="17"/>
  <c r="U47" i="17" s="1"/>
  <c r="T46" i="17"/>
  <c r="U46" i="17" s="1"/>
  <c r="T45" i="17"/>
  <c r="U45" i="17" s="1"/>
  <c r="T44" i="17"/>
  <c r="U44" i="17" s="1"/>
  <c r="T43" i="17"/>
  <c r="U43" i="17" s="1"/>
  <c r="T42" i="17"/>
  <c r="U42" i="17" s="1"/>
  <c r="T41" i="17"/>
  <c r="U41" i="17" s="1"/>
  <c r="T40" i="17"/>
  <c r="U40" i="17" s="1"/>
  <c r="T39" i="17"/>
  <c r="U39" i="17" s="1"/>
  <c r="T38" i="17"/>
  <c r="U38" i="17" s="1"/>
  <c r="U37" i="17"/>
  <c r="T37" i="17"/>
  <c r="T36" i="17"/>
  <c r="U36" i="17" s="1"/>
  <c r="T35" i="17"/>
  <c r="U35" i="17" s="1"/>
  <c r="T34" i="17"/>
  <c r="U34" i="17" s="1"/>
  <c r="U33" i="17"/>
  <c r="T33" i="17"/>
  <c r="T32" i="17"/>
  <c r="U32" i="17" s="1"/>
  <c r="T31" i="17"/>
  <c r="U31" i="17" s="1"/>
  <c r="T30" i="17"/>
  <c r="U30" i="17" s="1"/>
  <c r="T29" i="17"/>
  <c r="U29" i="17" s="1"/>
  <c r="T28" i="17"/>
  <c r="U28" i="17" s="1"/>
  <c r="T27" i="17"/>
  <c r="U27" i="17" s="1"/>
  <c r="T26" i="17"/>
  <c r="U26" i="17" s="1"/>
  <c r="T25" i="17"/>
  <c r="U25" i="17" s="1"/>
  <c r="T24" i="17"/>
  <c r="U24" i="17" s="1"/>
  <c r="T23" i="17"/>
  <c r="U23" i="17" s="1"/>
  <c r="T22" i="17"/>
  <c r="U22" i="17" s="1"/>
  <c r="U21" i="17"/>
  <c r="T21" i="17"/>
  <c r="T20" i="17"/>
  <c r="U20" i="17" s="1"/>
  <c r="U19" i="17"/>
  <c r="T19" i="17"/>
  <c r="T18" i="17"/>
  <c r="U18" i="17" s="1"/>
  <c r="T17" i="17"/>
  <c r="U17" i="17" s="1"/>
  <c r="T16" i="17"/>
  <c r="U16" i="17" s="1"/>
  <c r="T15" i="17"/>
  <c r="U15" i="17" s="1"/>
  <c r="T14" i="17"/>
  <c r="U14" i="17" s="1"/>
  <c r="U13" i="17"/>
  <c r="T13" i="17"/>
  <c r="T12" i="17"/>
  <c r="U12" i="17" s="1"/>
  <c r="U11" i="17"/>
  <c r="T11" i="17"/>
  <c r="Z10" i="17"/>
  <c r="T10" i="17"/>
  <c r="U10" i="17" s="1"/>
  <c r="T9" i="17"/>
  <c r="U9" i="17" s="1"/>
  <c r="T8" i="17"/>
  <c r="U8" i="17" s="1"/>
  <c r="T7" i="17"/>
  <c r="U7" i="17" s="1"/>
  <c r="U6" i="17"/>
  <c r="T6" i="17"/>
  <c r="T5" i="17"/>
  <c r="U5" i="17" s="1"/>
  <c r="T4" i="17"/>
  <c r="U4" i="17" s="1"/>
  <c r="T3" i="17"/>
  <c r="T50" i="17" s="1"/>
  <c r="U50" i="17" s="1"/>
  <c r="S50" i="16"/>
  <c r="B50" i="16"/>
  <c r="B4" i="13" s="1"/>
  <c r="T49" i="16"/>
  <c r="U49" i="16" s="1"/>
  <c r="T48" i="16"/>
  <c r="U48" i="16" s="1"/>
  <c r="T47" i="16"/>
  <c r="U47" i="16" s="1"/>
  <c r="T46" i="16"/>
  <c r="U46" i="16" s="1"/>
  <c r="T45" i="16"/>
  <c r="U45" i="16" s="1"/>
  <c r="T44" i="16"/>
  <c r="U44" i="16" s="1"/>
  <c r="U43" i="16"/>
  <c r="T43" i="16"/>
  <c r="T42" i="16"/>
  <c r="U42" i="16" s="1"/>
  <c r="T41" i="16"/>
  <c r="U41" i="16" s="1"/>
  <c r="T40" i="16"/>
  <c r="U40" i="16" s="1"/>
  <c r="T39" i="16"/>
  <c r="U39" i="16" s="1"/>
  <c r="T38" i="16"/>
  <c r="U38" i="16" s="1"/>
  <c r="U37" i="16"/>
  <c r="T37" i="16"/>
  <c r="T36" i="16"/>
  <c r="U36" i="16" s="1"/>
  <c r="T35" i="16"/>
  <c r="U35" i="16" s="1"/>
  <c r="T34" i="16"/>
  <c r="U34" i="16" s="1"/>
  <c r="U33" i="16"/>
  <c r="T33" i="16"/>
  <c r="T32" i="16"/>
  <c r="U32" i="16" s="1"/>
  <c r="T31" i="16"/>
  <c r="U31" i="16" s="1"/>
  <c r="T30" i="16"/>
  <c r="U30" i="16" s="1"/>
  <c r="U29" i="16"/>
  <c r="T29" i="16"/>
  <c r="T28" i="16"/>
  <c r="U28" i="16" s="1"/>
  <c r="T27" i="16"/>
  <c r="U27" i="16" s="1"/>
  <c r="T26" i="16"/>
  <c r="U26" i="16" s="1"/>
  <c r="U25" i="16"/>
  <c r="T25" i="16"/>
  <c r="T24" i="16"/>
  <c r="U24" i="16" s="1"/>
  <c r="T23" i="16"/>
  <c r="U23" i="16" s="1"/>
  <c r="T22" i="16"/>
  <c r="U22" i="16" s="1"/>
  <c r="U21" i="16"/>
  <c r="T21" i="16"/>
  <c r="T20" i="16"/>
  <c r="U20" i="16" s="1"/>
  <c r="T19" i="16"/>
  <c r="U19" i="16" s="1"/>
  <c r="T18" i="16"/>
  <c r="U18" i="16" s="1"/>
  <c r="U17" i="16"/>
  <c r="T17" i="16"/>
  <c r="T16" i="16"/>
  <c r="U16" i="16" s="1"/>
  <c r="T15" i="16"/>
  <c r="U15" i="16" s="1"/>
  <c r="T14" i="16"/>
  <c r="U14" i="16" s="1"/>
  <c r="U13" i="16"/>
  <c r="T13" i="16"/>
  <c r="T12" i="16"/>
  <c r="U12" i="16" s="1"/>
  <c r="T11" i="16"/>
  <c r="U11" i="16" s="1"/>
  <c r="Z10" i="16"/>
  <c r="U10" i="16"/>
  <c r="T10" i="16"/>
  <c r="T9" i="16"/>
  <c r="U9" i="16" s="1"/>
  <c r="T8" i="16"/>
  <c r="U8" i="16" s="1"/>
  <c r="U7" i="16"/>
  <c r="T7" i="16"/>
  <c r="U6" i="16"/>
  <c r="T6" i="16"/>
  <c r="T5" i="16"/>
  <c r="U5" i="16" s="1"/>
  <c r="T4" i="16"/>
  <c r="U3" i="16"/>
  <c r="T3" i="16"/>
  <c r="S50" i="15"/>
  <c r="B50" i="15"/>
  <c r="B3" i="13" s="1"/>
  <c r="T49" i="15"/>
  <c r="U49" i="15" s="1"/>
  <c r="T48" i="15"/>
  <c r="U48" i="15" s="1"/>
  <c r="T47" i="15"/>
  <c r="U47" i="15" s="1"/>
  <c r="T46" i="15"/>
  <c r="U46" i="15" s="1"/>
  <c r="T45" i="15"/>
  <c r="U45" i="15" s="1"/>
  <c r="T44" i="15"/>
  <c r="U44" i="15" s="1"/>
  <c r="T43" i="15"/>
  <c r="U43" i="15" s="1"/>
  <c r="T42" i="15"/>
  <c r="U42" i="15" s="1"/>
  <c r="T41" i="15"/>
  <c r="U41" i="15" s="1"/>
  <c r="T40" i="15"/>
  <c r="U40" i="15" s="1"/>
  <c r="T39" i="15"/>
  <c r="U39" i="15" s="1"/>
  <c r="T38" i="15"/>
  <c r="U38" i="15" s="1"/>
  <c r="T37" i="15"/>
  <c r="U37" i="15" s="1"/>
  <c r="T36" i="15"/>
  <c r="U36" i="15" s="1"/>
  <c r="T35" i="15"/>
  <c r="U35" i="15" s="1"/>
  <c r="T34" i="15"/>
  <c r="U34" i="15" s="1"/>
  <c r="T33" i="15"/>
  <c r="U33" i="15" s="1"/>
  <c r="T32" i="15"/>
  <c r="U32" i="15" s="1"/>
  <c r="T31" i="15"/>
  <c r="U31" i="15" s="1"/>
  <c r="T30" i="15"/>
  <c r="U30" i="15" s="1"/>
  <c r="T29" i="15"/>
  <c r="U29" i="15" s="1"/>
  <c r="T28" i="15"/>
  <c r="U28" i="15" s="1"/>
  <c r="T27" i="15"/>
  <c r="U27" i="15" s="1"/>
  <c r="T26" i="15"/>
  <c r="U26" i="15" s="1"/>
  <c r="T25" i="15"/>
  <c r="U25" i="15" s="1"/>
  <c r="T24" i="15"/>
  <c r="U24" i="15" s="1"/>
  <c r="T23" i="15"/>
  <c r="U23" i="15" s="1"/>
  <c r="T22" i="15"/>
  <c r="U22" i="15" s="1"/>
  <c r="T21" i="15"/>
  <c r="U21" i="15" s="1"/>
  <c r="T20" i="15"/>
  <c r="U20" i="15" s="1"/>
  <c r="T19" i="15"/>
  <c r="U19" i="15" s="1"/>
  <c r="T18" i="15"/>
  <c r="U18" i="15" s="1"/>
  <c r="T17" i="15"/>
  <c r="U17" i="15" s="1"/>
  <c r="T16" i="15"/>
  <c r="U16" i="15" s="1"/>
  <c r="T15" i="15"/>
  <c r="U15" i="15" s="1"/>
  <c r="T14" i="15"/>
  <c r="U14" i="15" s="1"/>
  <c r="T13" i="15"/>
  <c r="U13" i="15" s="1"/>
  <c r="T12" i="15"/>
  <c r="U12" i="15" s="1"/>
  <c r="T11" i="15"/>
  <c r="U11" i="15" s="1"/>
  <c r="Z10" i="15"/>
  <c r="T10" i="15"/>
  <c r="U10" i="15" s="1"/>
  <c r="T9" i="15"/>
  <c r="U9" i="15" s="1"/>
  <c r="T8" i="15"/>
  <c r="U8" i="15" s="1"/>
  <c r="T7" i="15"/>
  <c r="U7" i="15" s="1"/>
  <c r="T6" i="15"/>
  <c r="U6" i="15" s="1"/>
  <c r="T5" i="15"/>
  <c r="U5" i="15" s="1"/>
  <c r="T4" i="15"/>
  <c r="U4" i="15" s="1"/>
  <c r="U3" i="15"/>
  <c r="T3" i="15"/>
  <c r="B77" i="14"/>
  <c r="B2" i="13" s="1"/>
  <c r="T49" i="14"/>
  <c r="U49" i="14" s="1"/>
  <c r="T48" i="14"/>
  <c r="U48" i="14" s="1"/>
  <c r="T47" i="14"/>
  <c r="U47" i="14" s="1"/>
  <c r="T46" i="14"/>
  <c r="U46" i="14" s="1"/>
  <c r="T45" i="14"/>
  <c r="U45" i="14" s="1"/>
  <c r="T44" i="14"/>
  <c r="U44" i="14" s="1"/>
  <c r="T43" i="14"/>
  <c r="U43" i="14" s="1"/>
  <c r="T42" i="14"/>
  <c r="U42" i="14" s="1"/>
  <c r="T41" i="14"/>
  <c r="U41" i="14" s="1"/>
  <c r="T40" i="14"/>
  <c r="U40" i="14" s="1"/>
  <c r="T39" i="14"/>
  <c r="U39" i="14" s="1"/>
  <c r="T38" i="14"/>
  <c r="U38" i="14" s="1"/>
  <c r="T37" i="14"/>
  <c r="U37" i="14" s="1"/>
  <c r="T36" i="14"/>
  <c r="U36" i="14" s="1"/>
  <c r="T35" i="14"/>
  <c r="U35" i="14" s="1"/>
  <c r="T34" i="14"/>
  <c r="U34" i="14" s="1"/>
  <c r="T33" i="14"/>
  <c r="U33" i="14" s="1"/>
  <c r="T32" i="14"/>
  <c r="U32" i="14" s="1"/>
  <c r="T31" i="14"/>
  <c r="U31" i="14" s="1"/>
  <c r="T30" i="14"/>
  <c r="U30" i="14" s="1"/>
  <c r="T29" i="14"/>
  <c r="U29" i="14" s="1"/>
  <c r="T28" i="14"/>
  <c r="U28" i="14" s="1"/>
  <c r="T27" i="14"/>
  <c r="U27" i="14" s="1"/>
  <c r="T26" i="14"/>
  <c r="U26" i="14" s="1"/>
  <c r="T25" i="14"/>
  <c r="U25" i="14" s="1"/>
  <c r="T24" i="14"/>
  <c r="U24" i="14" s="1"/>
  <c r="T23" i="14"/>
  <c r="U23" i="14" s="1"/>
  <c r="T22" i="14"/>
  <c r="U22" i="14" s="1"/>
  <c r="T21" i="14"/>
  <c r="U21" i="14" s="1"/>
  <c r="T20" i="14"/>
  <c r="U20" i="14" s="1"/>
  <c r="T19" i="14"/>
  <c r="U19" i="14" s="1"/>
  <c r="T18" i="14"/>
  <c r="U18" i="14" s="1"/>
  <c r="T17" i="14"/>
  <c r="U17" i="14" s="1"/>
  <c r="T16" i="14"/>
  <c r="U16" i="14" s="1"/>
  <c r="T15" i="14"/>
  <c r="U15" i="14" s="1"/>
  <c r="T14" i="14"/>
  <c r="U14" i="14" s="1"/>
  <c r="T13" i="14"/>
  <c r="U13" i="14" s="1"/>
  <c r="T12" i="14"/>
  <c r="U12" i="14" s="1"/>
  <c r="T11" i="14"/>
  <c r="U11" i="14" s="1"/>
  <c r="Z10" i="14"/>
  <c r="T10" i="14"/>
  <c r="U10" i="14" s="1"/>
  <c r="T9" i="14"/>
  <c r="U9" i="14" s="1"/>
  <c r="T8" i="14"/>
  <c r="U8" i="14" s="1"/>
  <c r="T7" i="14"/>
  <c r="U7" i="14" s="1"/>
  <c r="T6" i="14"/>
  <c r="U6" i="14" s="1"/>
  <c r="T5" i="14"/>
  <c r="U5" i="14" s="1"/>
  <c r="T4" i="14"/>
  <c r="U4" i="14" s="1"/>
  <c r="T3" i="14"/>
  <c r="S65" i="12"/>
  <c r="B65" i="12"/>
  <c r="B13" i="13" s="1"/>
  <c r="T53" i="12"/>
  <c r="U53" i="12" s="1"/>
  <c r="T54" i="12"/>
  <c r="U54" i="12" s="1"/>
  <c r="T55" i="12"/>
  <c r="U55" i="12" s="1"/>
  <c r="T56" i="12"/>
  <c r="U56" i="12" s="1"/>
  <c r="T57" i="12"/>
  <c r="U57" i="12" s="1"/>
  <c r="T61" i="12"/>
  <c r="U61" i="12" s="1"/>
  <c r="T64" i="12"/>
  <c r="U64" i="12" s="1"/>
  <c r="T63" i="12"/>
  <c r="U63" i="12" s="1"/>
  <c r="T62" i="12"/>
  <c r="U62" i="12" s="1"/>
  <c r="AB57" i="11"/>
  <c r="S60" i="11"/>
  <c r="B60" i="11"/>
  <c r="B12" i="13" s="1"/>
  <c r="T59" i="11"/>
  <c r="U59" i="11" s="1"/>
  <c r="T58" i="11"/>
  <c r="U58" i="11" s="1"/>
  <c r="T57" i="11"/>
  <c r="U57" i="11" s="1"/>
  <c r="T56" i="11"/>
  <c r="U56" i="11" s="1"/>
  <c r="T55" i="11"/>
  <c r="U55" i="11" s="1"/>
  <c r="T54" i="11"/>
  <c r="U54" i="11" s="1"/>
  <c r="T53" i="11"/>
  <c r="U53" i="11" s="1"/>
  <c r="AG3" i="10"/>
  <c r="S72" i="10"/>
  <c r="T71" i="10"/>
  <c r="U71" i="10" s="1"/>
  <c r="T70" i="10"/>
  <c r="U70" i="10" s="1"/>
  <c r="T69" i="10"/>
  <c r="U69" i="10" s="1"/>
  <c r="B72" i="10"/>
  <c r="B11" i="13" s="1"/>
  <c r="T53" i="10"/>
  <c r="T54" i="10"/>
  <c r="T55" i="10"/>
  <c r="T56" i="10"/>
  <c r="U56" i="10" s="1"/>
  <c r="T57" i="10"/>
  <c r="U57" i="10" s="1"/>
  <c r="T58" i="10"/>
  <c r="U58" i="10" s="1"/>
  <c r="T59" i="10"/>
  <c r="U59" i="10" s="1"/>
  <c r="T60" i="10"/>
  <c r="U60" i="10" s="1"/>
  <c r="U53" i="10"/>
  <c r="U54" i="10"/>
  <c r="U55" i="10"/>
  <c r="T61" i="10"/>
  <c r="T62" i="10"/>
  <c r="U62" i="10" s="1"/>
  <c r="T63" i="10"/>
  <c r="U63" i="10" s="1"/>
  <c r="T64" i="10"/>
  <c r="U64" i="10" s="1"/>
  <c r="U61" i="10"/>
  <c r="T65" i="10"/>
  <c r="U65" i="10" s="1"/>
  <c r="T66" i="10"/>
  <c r="U66" i="10" s="1"/>
  <c r="T68" i="10"/>
  <c r="U68" i="10" s="1"/>
  <c r="T67" i="10"/>
  <c r="U67" i="10" s="1"/>
  <c r="U42" i="7"/>
  <c r="T52" i="12"/>
  <c r="U52" i="12" s="1"/>
  <c r="T51" i="12"/>
  <c r="U51" i="12" s="1"/>
  <c r="T50" i="12"/>
  <c r="U50" i="12" s="1"/>
  <c r="T49" i="12"/>
  <c r="U49" i="12" s="1"/>
  <c r="T48" i="12"/>
  <c r="U48" i="12" s="1"/>
  <c r="T47" i="12"/>
  <c r="U47" i="12" s="1"/>
  <c r="T46" i="12"/>
  <c r="U46" i="12" s="1"/>
  <c r="T45" i="12"/>
  <c r="U45" i="12" s="1"/>
  <c r="T44" i="12"/>
  <c r="U44" i="12" s="1"/>
  <c r="T43" i="12"/>
  <c r="U43" i="12" s="1"/>
  <c r="T42" i="12"/>
  <c r="U42" i="12" s="1"/>
  <c r="T41" i="12"/>
  <c r="U41" i="12" s="1"/>
  <c r="T40" i="12"/>
  <c r="U40" i="12" s="1"/>
  <c r="T39" i="12"/>
  <c r="U39" i="12" s="1"/>
  <c r="T38" i="12"/>
  <c r="U38" i="12" s="1"/>
  <c r="T37" i="12"/>
  <c r="U37" i="12" s="1"/>
  <c r="T36" i="12"/>
  <c r="U36" i="12" s="1"/>
  <c r="T35" i="12"/>
  <c r="U35" i="12" s="1"/>
  <c r="T34" i="12"/>
  <c r="U34" i="12" s="1"/>
  <c r="T33" i="12"/>
  <c r="U33" i="12" s="1"/>
  <c r="T32" i="12"/>
  <c r="U32" i="12" s="1"/>
  <c r="T31" i="12"/>
  <c r="U31" i="12" s="1"/>
  <c r="T30" i="12"/>
  <c r="U30" i="12" s="1"/>
  <c r="T29" i="12"/>
  <c r="U29" i="12" s="1"/>
  <c r="T28" i="12"/>
  <c r="U28" i="12" s="1"/>
  <c r="T27" i="12"/>
  <c r="U27" i="12" s="1"/>
  <c r="T26" i="12"/>
  <c r="U26" i="12" s="1"/>
  <c r="T25" i="12"/>
  <c r="U25" i="12" s="1"/>
  <c r="T24" i="12"/>
  <c r="U24" i="12" s="1"/>
  <c r="T23" i="12"/>
  <c r="U23" i="12" s="1"/>
  <c r="T22" i="12"/>
  <c r="U22" i="12" s="1"/>
  <c r="T21" i="12"/>
  <c r="U21" i="12" s="1"/>
  <c r="T20" i="12"/>
  <c r="U20" i="12" s="1"/>
  <c r="T19" i="12"/>
  <c r="U19" i="12" s="1"/>
  <c r="T18" i="12"/>
  <c r="U18" i="12" s="1"/>
  <c r="T17" i="12"/>
  <c r="U17" i="12" s="1"/>
  <c r="T16" i="12"/>
  <c r="U16" i="12" s="1"/>
  <c r="T15" i="12"/>
  <c r="U15" i="12" s="1"/>
  <c r="T14" i="12"/>
  <c r="U14" i="12" s="1"/>
  <c r="T13" i="12"/>
  <c r="U13" i="12" s="1"/>
  <c r="T12" i="12"/>
  <c r="U12" i="12" s="1"/>
  <c r="T11" i="12"/>
  <c r="U11" i="12" s="1"/>
  <c r="T10" i="12"/>
  <c r="U10" i="12" s="1"/>
  <c r="T9" i="12"/>
  <c r="U9" i="12" s="1"/>
  <c r="T8" i="12"/>
  <c r="U8" i="12" s="1"/>
  <c r="T7" i="12"/>
  <c r="U7" i="12" s="1"/>
  <c r="T6" i="12"/>
  <c r="U6" i="12" s="1"/>
  <c r="T5" i="12"/>
  <c r="U5" i="12" s="1"/>
  <c r="T4" i="12"/>
  <c r="U4" i="12" s="1"/>
  <c r="T3" i="12"/>
  <c r="T52" i="11"/>
  <c r="U52" i="11" s="1"/>
  <c r="T51" i="11"/>
  <c r="U51" i="11" s="1"/>
  <c r="T50" i="11"/>
  <c r="U50" i="11" s="1"/>
  <c r="T49" i="11"/>
  <c r="U49" i="11" s="1"/>
  <c r="T48" i="11"/>
  <c r="U48" i="11" s="1"/>
  <c r="T47" i="11"/>
  <c r="U47" i="11" s="1"/>
  <c r="T46" i="11"/>
  <c r="U46" i="11" s="1"/>
  <c r="T45" i="11"/>
  <c r="U45" i="11" s="1"/>
  <c r="T44" i="11"/>
  <c r="U44" i="11" s="1"/>
  <c r="T43" i="11"/>
  <c r="U43" i="11" s="1"/>
  <c r="T42" i="11"/>
  <c r="U42" i="11" s="1"/>
  <c r="T41" i="11"/>
  <c r="U41" i="11" s="1"/>
  <c r="T40" i="11"/>
  <c r="U40" i="11" s="1"/>
  <c r="T39" i="11"/>
  <c r="U39" i="11" s="1"/>
  <c r="T38" i="11"/>
  <c r="U38" i="11" s="1"/>
  <c r="T37" i="11"/>
  <c r="U37" i="11" s="1"/>
  <c r="T36" i="11"/>
  <c r="U36" i="11" s="1"/>
  <c r="T35" i="11"/>
  <c r="U35" i="11" s="1"/>
  <c r="T34" i="11"/>
  <c r="U34" i="11" s="1"/>
  <c r="T33" i="11"/>
  <c r="U33" i="11" s="1"/>
  <c r="T32" i="11"/>
  <c r="U32" i="11" s="1"/>
  <c r="T31" i="11"/>
  <c r="U31" i="11" s="1"/>
  <c r="T30" i="11"/>
  <c r="U30" i="11" s="1"/>
  <c r="T29" i="11"/>
  <c r="U29" i="11" s="1"/>
  <c r="T28" i="11"/>
  <c r="U28" i="11" s="1"/>
  <c r="T27" i="11"/>
  <c r="U27" i="11" s="1"/>
  <c r="T26" i="11"/>
  <c r="U26" i="11" s="1"/>
  <c r="T25" i="11"/>
  <c r="U25" i="11" s="1"/>
  <c r="T24" i="11"/>
  <c r="U24" i="11" s="1"/>
  <c r="T23" i="11"/>
  <c r="U23" i="11" s="1"/>
  <c r="T22" i="11"/>
  <c r="U22" i="11" s="1"/>
  <c r="T21" i="11"/>
  <c r="U21" i="11" s="1"/>
  <c r="T20" i="11"/>
  <c r="U20" i="11" s="1"/>
  <c r="T19" i="11"/>
  <c r="U19" i="11" s="1"/>
  <c r="T18" i="11"/>
  <c r="U18" i="11" s="1"/>
  <c r="T17" i="11"/>
  <c r="U17" i="11" s="1"/>
  <c r="T16" i="11"/>
  <c r="U16" i="11" s="1"/>
  <c r="T15" i="11"/>
  <c r="U15" i="11" s="1"/>
  <c r="T14" i="11"/>
  <c r="U14" i="11" s="1"/>
  <c r="T13" i="11"/>
  <c r="U13" i="11" s="1"/>
  <c r="T12" i="11"/>
  <c r="U12" i="11" s="1"/>
  <c r="T11" i="11"/>
  <c r="U11" i="11" s="1"/>
  <c r="T10" i="11"/>
  <c r="U10" i="11" s="1"/>
  <c r="T9" i="11"/>
  <c r="U9" i="11" s="1"/>
  <c r="T8" i="11"/>
  <c r="U8" i="11" s="1"/>
  <c r="T7" i="11"/>
  <c r="U7" i="11" s="1"/>
  <c r="T6" i="11"/>
  <c r="U6" i="11" s="1"/>
  <c r="T5" i="11"/>
  <c r="U5" i="11" s="1"/>
  <c r="T4" i="11"/>
  <c r="U4" i="11" s="1"/>
  <c r="T3" i="11"/>
  <c r="T52" i="10"/>
  <c r="U52" i="10" s="1"/>
  <c r="T51" i="10"/>
  <c r="U51" i="10" s="1"/>
  <c r="T50" i="10"/>
  <c r="U50" i="10" s="1"/>
  <c r="T49" i="10"/>
  <c r="U49" i="10" s="1"/>
  <c r="T48" i="10"/>
  <c r="U48" i="10" s="1"/>
  <c r="T47" i="10"/>
  <c r="U47" i="10" s="1"/>
  <c r="T46" i="10"/>
  <c r="U46" i="10" s="1"/>
  <c r="T45" i="10"/>
  <c r="U45" i="10" s="1"/>
  <c r="T44" i="10"/>
  <c r="U44" i="10" s="1"/>
  <c r="T43" i="10"/>
  <c r="U43" i="10" s="1"/>
  <c r="T42" i="10"/>
  <c r="U42" i="10" s="1"/>
  <c r="T41" i="10"/>
  <c r="U41" i="10" s="1"/>
  <c r="T40" i="10"/>
  <c r="U40" i="10" s="1"/>
  <c r="T39" i="10"/>
  <c r="U39" i="10" s="1"/>
  <c r="T38" i="10"/>
  <c r="U38" i="10" s="1"/>
  <c r="T37" i="10"/>
  <c r="U37" i="10" s="1"/>
  <c r="T36" i="10"/>
  <c r="U36" i="10" s="1"/>
  <c r="T35" i="10"/>
  <c r="U35" i="10" s="1"/>
  <c r="T34" i="10"/>
  <c r="U34" i="10" s="1"/>
  <c r="T33" i="10"/>
  <c r="U33" i="10" s="1"/>
  <c r="T32" i="10"/>
  <c r="U32" i="10" s="1"/>
  <c r="T31" i="10"/>
  <c r="U31" i="10" s="1"/>
  <c r="T30" i="10"/>
  <c r="U30" i="10" s="1"/>
  <c r="T29" i="10"/>
  <c r="U29" i="10" s="1"/>
  <c r="T28" i="10"/>
  <c r="U28" i="10" s="1"/>
  <c r="T27" i="10"/>
  <c r="U27" i="10" s="1"/>
  <c r="T26" i="10"/>
  <c r="U26" i="10" s="1"/>
  <c r="T25" i="10"/>
  <c r="U25" i="10" s="1"/>
  <c r="T24" i="10"/>
  <c r="U24" i="10" s="1"/>
  <c r="T23" i="10"/>
  <c r="U23" i="10" s="1"/>
  <c r="T22" i="10"/>
  <c r="U22" i="10" s="1"/>
  <c r="T21" i="10"/>
  <c r="U21" i="10" s="1"/>
  <c r="T20" i="10"/>
  <c r="U20" i="10" s="1"/>
  <c r="T19" i="10"/>
  <c r="U19" i="10" s="1"/>
  <c r="T18" i="10"/>
  <c r="U18" i="10" s="1"/>
  <c r="T17" i="10"/>
  <c r="U17" i="10" s="1"/>
  <c r="T16" i="10"/>
  <c r="U16" i="10" s="1"/>
  <c r="T15" i="10"/>
  <c r="U15" i="10" s="1"/>
  <c r="T14" i="10"/>
  <c r="U14" i="10" s="1"/>
  <c r="T13" i="10"/>
  <c r="U13" i="10" s="1"/>
  <c r="T12" i="10"/>
  <c r="U12" i="10" s="1"/>
  <c r="T11" i="10"/>
  <c r="U11" i="10" s="1"/>
  <c r="T10" i="10"/>
  <c r="U10" i="10" s="1"/>
  <c r="T9" i="10"/>
  <c r="U9" i="10" s="1"/>
  <c r="T8" i="10"/>
  <c r="U8" i="10" s="1"/>
  <c r="T7" i="10"/>
  <c r="U7" i="10" s="1"/>
  <c r="T6" i="10"/>
  <c r="U6" i="10" s="1"/>
  <c r="T5" i="10"/>
  <c r="U5" i="10" s="1"/>
  <c r="T4" i="10"/>
  <c r="U4" i="10" s="1"/>
  <c r="T3" i="10"/>
  <c r="T52" i="7"/>
  <c r="U52" i="7" s="1"/>
  <c r="T46" i="7"/>
  <c r="U46" i="7" s="1"/>
  <c r="T45" i="7"/>
  <c r="U45" i="7" s="1"/>
  <c r="T44" i="7"/>
  <c r="U44" i="7" s="1"/>
  <c r="T41" i="7"/>
  <c r="U41" i="7" s="1"/>
  <c r="T39" i="7"/>
  <c r="U39" i="7" s="1"/>
  <c r="B50" i="3"/>
  <c r="B6" i="13" s="1"/>
  <c r="B52" i="4"/>
  <c r="B7" i="13" s="1"/>
  <c r="B53" i="7"/>
  <c r="B9" i="13" s="1"/>
  <c r="B60" i="5"/>
  <c r="B8" i="13" s="1"/>
  <c r="T21" i="7"/>
  <c r="U21" i="7" s="1"/>
  <c r="T18" i="7"/>
  <c r="U18" i="7" s="1"/>
  <c r="T12" i="7"/>
  <c r="U12" i="7" s="1"/>
  <c r="T10" i="7"/>
  <c r="U10" i="7" s="1"/>
  <c r="T4" i="7"/>
  <c r="U4" i="7" s="1"/>
  <c r="T51" i="7"/>
  <c r="U51" i="7" s="1"/>
  <c r="T50" i="7"/>
  <c r="U50" i="7" s="1"/>
  <c r="T49" i="7"/>
  <c r="U49" i="7" s="1"/>
  <c r="T48" i="7"/>
  <c r="U48" i="7" s="1"/>
  <c r="T47" i="7"/>
  <c r="U47" i="7" s="1"/>
  <c r="T43" i="7"/>
  <c r="U43" i="7" s="1"/>
  <c r="T42" i="7"/>
  <c r="T40" i="7"/>
  <c r="U40" i="7" s="1"/>
  <c r="T38" i="7"/>
  <c r="U38" i="7" s="1"/>
  <c r="T37" i="7"/>
  <c r="U37" i="7" s="1"/>
  <c r="T36" i="7"/>
  <c r="U36" i="7" s="1"/>
  <c r="T35" i="7"/>
  <c r="U35" i="7" s="1"/>
  <c r="T34" i="7"/>
  <c r="U34" i="7" s="1"/>
  <c r="T33" i="7"/>
  <c r="U33" i="7" s="1"/>
  <c r="T32" i="7"/>
  <c r="U32" i="7" s="1"/>
  <c r="T31" i="7"/>
  <c r="U31" i="7" s="1"/>
  <c r="T30" i="7"/>
  <c r="U30" i="7" s="1"/>
  <c r="T29" i="7"/>
  <c r="U29" i="7" s="1"/>
  <c r="T28" i="7"/>
  <c r="U28" i="7" s="1"/>
  <c r="T27" i="7"/>
  <c r="U27" i="7" s="1"/>
  <c r="T26" i="7"/>
  <c r="U26" i="7" s="1"/>
  <c r="T25" i="7"/>
  <c r="U25" i="7" s="1"/>
  <c r="T24" i="7"/>
  <c r="U24" i="7" s="1"/>
  <c r="T23" i="7"/>
  <c r="U23" i="7" s="1"/>
  <c r="T22" i="7"/>
  <c r="U22" i="7" s="1"/>
  <c r="T20" i="7"/>
  <c r="U20" i="7" s="1"/>
  <c r="T19" i="7"/>
  <c r="U19" i="7" s="1"/>
  <c r="T17" i="7"/>
  <c r="U17" i="7" s="1"/>
  <c r="T16" i="7"/>
  <c r="U16" i="7" s="1"/>
  <c r="T15" i="7"/>
  <c r="U15" i="7" s="1"/>
  <c r="T14" i="7"/>
  <c r="U14" i="7" s="1"/>
  <c r="T13" i="7"/>
  <c r="U13" i="7" s="1"/>
  <c r="T11" i="7"/>
  <c r="U11" i="7" s="1"/>
  <c r="T9" i="7"/>
  <c r="U9" i="7" s="1"/>
  <c r="T8" i="7"/>
  <c r="U8" i="7" s="1"/>
  <c r="T7" i="7"/>
  <c r="U7" i="7" s="1"/>
  <c r="T6" i="7"/>
  <c r="T5" i="7"/>
  <c r="U5" i="7" s="1"/>
  <c r="T3" i="7"/>
  <c r="U3" i="7" s="1"/>
  <c r="T48" i="5"/>
  <c r="U48" i="5" s="1"/>
  <c r="T49" i="5"/>
  <c r="U49" i="5" s="1"/>
  <c r="T50" i="5"/>
  <c r="U50" i="5" s="1"/>
  <c r="T51" i="5"/>
  <c r="U51" i="5" s="1"/>
  <c r="T52" i="5"/>
  <c r="U52" i="5" s="1"/>
  <c r="T53" i="5"/>
  <c r="U53" i="5" s="1"/>
  <c r="T54" i="5"/>
  <c r="U54" i="5" s="1"/>
  <c r="T55" i="5"/>
  <c r="U55" i="5" s="1"/>
  <c r="T56" i="5"/>
  <c r="U56" i="5" s="1"/>
  <c r="T57" i="5"/>
  <c r="U57" i="5" s="1"/>
  <c r="T58" i="5"/>
  <c r="U58" i="5" s="1"/>
  <c r="T45" i="5"/>
  <c r="U45" i="5" s="1"/>
  <c r="T4" i="5"/>
  <c r="U4" i="5" s="1"/>
  <c r="T5" i="5"/>
  <c r="U5" i="5" s="1"/>
  <c r="T6" i="5"/>
  <c r="T7" i="5"/>
  <c r="T8" i="5"/>
  <c r="T10" i="5"/>
  <c r="U10" i="5" s="1"/>
  <c r="T11" i="5"/>
  <c r="U11" i="5" s="1"/>
  <c r="T12" i="5"/>
  <c r="U12" i="5" s="1"/>
  <c r="T13" i="5"/>
  <c r="U13" i="5" s="1"/>
  <c r="T14" i="5"/>
  <c r="T15" i="5"/>
  <c r="T16" i="5"/>
  <c r="U16" i="5" s="1"/>
  <c r="T17" i="5"/>
  <c r="T18" i="5"/>
  <c r="T19" i="5"/>
  <c r="U19" i="5" s="1"/>
  <c r="T20" i="5"/>
  <c r="U20" i="5" s="1"/>
  <c r="T21" i="5"/>
  <c r="U21" i="5" s="1"/>
  <c r="T22" i="5"/>
  <c r="T23" i="5"/>
  <c r="U23" i="5" s="1"/>
  <c r="T24" i="5"/>
  <c r="U24" i="5" s="1"/>
  <c r="T25" i="5"/>
  <c r="T26" i="5"/>
  <c r="T27" i="5"/>
  <c r="U27" i="5" s="1"/>
  <c r="T28" i="5"/>
  <c r="U28" i="5" s="1"/>
  <c r="T29" i="5"/>
  <c r="U29" i="5" s="1"/>
  <c r="T30" i="5"/>
  <c r="T31" i="5"/>
  <c r="U31" i="5" s="1"/>
  <c r="T32" i="5"/>
  <c r="U32" i="5" s="1"/>
  <c r="T33" i="5"/>
  <c r="T34" i="5"/>
  <c r="T35" i="5"/>
  <c r="U35" i="5" s="1"/>
  <c r="T36" i="5"/>
  <c r="U36" i="5" s="1"/>
  <c r="T37" i="5"/>
  <c r="T38" i="5"/>
  <c r="T39" i="5"/>
  <c r="U39" i="5" s="1"/>
  <c r="T40" i="5"/>
  <c r="T41" i="5"/>
  <c r="T42" i="5"/>
  <c r="U42" i="5" s="1"/>
  <c r="T43" i="5"/>
  <c r="U43" i="5" s="1"/>
  <c r="T44" i="5"/>
  <c r="U44" i="5" s="1"/>
  <c r="T46" i="5"/>
  <c r="T47" i="5"/>
  <c r="T59" i="5"/>
  <c r="T3" i="5"/>
  <c r="U3" i="5" s="1"/>
  <c r="T37" i="4"/>
  <c r="U37" i="4" s="1"/>
  <c r="T48" i="4"/>
  <c r="U48" i="4" s="1"/>
  <c r="T49" i="4"/>
  <c r="U49" i="4" s="1"/>
  <c r="T16" i="4"/>
  <c r="T14" i="4"/>
  <c r="U14" i="4" s="1"/>
  <c r="T10" i="4"/>
  <c r="U10" i="4" s="1"/>
  <c r="T7" i="4"/>
  <c r="U7" i="4" s="1"/>
  <c r="T4" i="4"/>
  <c r="U4" i="4" s="1"/>
  <c r="T51" i="4"/>
  <c r="U51" i="4" s="1"/>
  <c r="T50" i="4"/>
  <c r="U50" i="4" s="1"/>
  <c r="T47" i="4"/>
  <c r="U47" i="4" s="1"/>
  <c r="T46" i="4"/>
  <c r="U46" i="4" s="1"/>
  <c r="T45" i="4"/>
  <c r="U45" i="4" s="1"/>
  <c r="T44" i="4"/>
  <c r="U44" i="4" s="1"/>
  <c r="T43" i="4"/>
  <c r="U43" i="4" s="1"/>
  <c r="T42" i="4"/>
  <c r="U42" i="4" s="1"/>
  <c r="T41" i="4"/>
  <c r="U41" i="4" s="1"/>
  <c r="T40" i="4"/>
  <c r="U40" i="4" s="1"/>
  <c r="T39" i="4"/>
  <c r="U39" i="4" s="1"/>
  <c r="T38" i="4"/>
  <c r="U38" i="4" s="1"/>
  <c r="T36" i="4"/>
  <c r="U36" i="4" s="1"/>
  <c r="T35" i="4"/>
  <c r="U35" i="4" s="1"/>
  <c r="T34" i="4"/>
  <c r="U34" i="4" s="1"/>
  <c r="T33" i="4"/>
  <c r="U33" i="4" s="1"/>
  <c r="T32" i="4"/>
  <c r="U32" i="4" s="1"/>
  <c r="T31" i="4"/>
  <c r="U31" i="4" s="1"/>
  <c r="T30" i="4"/>
  <c r="U30" i="4" s="1"/>
  <c r="T29" i="4"/>
  <c r="U29" i="4" s="1"/>
  <c r="T28" i="4"/>
  <c r="U28" i="4" s="1"/>
  <c r="T27" i="4"/>
  <c r="U27" i="4" s="1"/>
  <c r="T26" i="4"/>
  <c r="U26" i="4" s="1"/>
  <c r="T25" i="4"/>
  <c r="U25" i="4" s="1"/>
  <c r="T24" i="4"/>
  <c r="U24" i="4" s="1"/>
  <c r="T22" i="4"/>
  <c r="U22" i="4" s="1"/>
  <c r="T21" i="4"/>
  <c r="U21" i="4" s="1"/>
  <c r="T20" i="4"/>
  <c r="U20" i="4" s="1"/>
  <c r="T19" i="4"/>
  <c r="U19" i="4" s="1"/>
  <c r="T18" i="4"/>
  <c r="U18" i="4" s="1"/>
  <c r="T17" i="4"/>
  <c r="U17" i="4" s="1"/>
  <c r="U16" i="4"/>
  <c r="T15" i="4"/>
  <c r="U15" i="4" s="1"/>
  <c r="T13" i="4"/>
  <c r="U13" i="4" s="1"/>
  <c r="T12" i="4"/>
  <c r="U12" i="4" s="1"/>
  <c r="T11" i="4"/>
  <c r="U11" i="4" s="1"/>
  <c r="Z10" i="4"/>
  <c r="T9" i="4"/>
  <c r="U9" i="4" s="1"/>
  <c r="T6" i="4"/>
  <c r="U6" i="4" s="1"/>
  <c r="T5" i="4"/>
  <c r="U5" i="4" s="1"/>
  <c r="T3" i="4"/>
  <c r="U3" i="4" s="1"/>
  <c r="T40" i="3"/>
  <c r="U40" i="3" s="1"/>
  <c r="T41" i="3"/>
  <c r="U41" i="3" s="1"/>
  <c r="T42" i="3"/>
  <c r="U42" i="3" s="1"/>
  <c r="T43" i="3"/>
  <c r="U43" i="3" s="1"/>
  <c r="T44" i="3"/>
  <c r="U44" i="3" s="1"/>
  <c r="Z10" i="3"/>
  <c r="S50" i="3"/>
  <c r="T49" i="3"/>
  <c r="U49" i="3" s="1"/>
  <c r="T48" i="3"/>
  <c r="U48" i="3" s="1"/>
  <c r="T47" i="3"/>
  <c r="U47" i="3" s="1"/>
  <c r="T46" i="3"/>
  <c r="U46" i="3" s="1"/>
  <c r="T45" i="3"/>
  <c r="U45" i="3" s="1"/>
  <c r="T39" i="3"/>
  <c r="U39" i="3" s="1"/>
  <c r="T38" i="3"/>
  <c r="U38" i="3" s="1"/>
  <c r="T37" i="3"/>
  <c r="U37" i="3" s="1"/>
  <c r="T36" i="3"/>
  <c r="U36" i="3" s="1"/>
  <c r="T35" i="3"/>
  <c r="U35" i="3" s="1"/>
  <c r="T34" i="3"/>
  <c r="U34" i="3" s="1"/>
  <c r="T33" i="3"/>
  <c r="U33" i="3" s="1"/>
  <c r="T32" i="3"/>
  <c r="U32" i="3" s="1"/>
  <c r="T31" i="3"/>
  <c r="U31" i="3" s="1"/>
  <c r="T30" i="3"/>
  <c r="U30" i="3" s="1"/>
  <c r="T29" i="3"/>
  <c r="U29" i="3" s="1"/>
  <c r="T28" i="3"/>
  <c r="U28" i="3" s="1"/>
  <c r="T27" i="3"/>
  <c r="U27" i="3" s="1"/>
  <c r="T26" i="3"/>
  <c r="U26" i="3" s="1"/>
  <c r="T25" i="3"/>
  <c r="U25" i="3" s="1"/>
  <c r="T24" i="3"/>
  <c r="U24" i="3" s="1"/>
  <c r="T23" i="3"/>
  <c r="U23" i="3" s="1"/>
  <c r="T22" i="3"/>
  <c r="U22" i="3" s="1"/>
  <c r="T21" i="3"/>
  <c r="U21" i="3" s="1"/>
  <c r="T20" i="3"/>
  <c r="U20" i="3" s="1"/>
  <c r="T19" i="3"/>
  <c r="U19" i="3" s="1"/>
  <c r="T18" i="3"/>
  <c r="U18" i="3" s="1"/>
  <c r="T17" i="3"/>
  <c r="U17" i="3" s="1"/>
  <c r="T16" i="3"/>
  <c r="U16" i="3" s="1"/>
  <c r="T15" i="3"/>
  <c r="U15" i="3" s="1"/>
  <c r="T14" i="3"/>
  <c r="U14" i="3" s="1"/>
  <c r="T13" i="3"/>
  <c r="U13" i="3" s="1"/>
  <c r="T12" i="3"/>
  <c r="U12" i="3" s="1"/>
  <c r="T11" i="3"/>
  <c r="U11" i="3" s="1"/>
  <c r="T10" i="3"/>
  <c r="U10" i="3" s="1"/>
  <c r="T9" i="3"/>
  <c r="U9" i="3" s="1"/>
  <c r="T8" i="3"/>
  <c r="U8" i="3" s="1"/>
  <c r="T7" i="3"/>
  <c r="U7" i="3" s="1"/>
  <c r="T6" i="3"/>
  <c r="U6" i="3" s="1"/>
  <c r="T5" i="3"/>
  <c r="U5" i="3" s="1"/>
  <c r="T4" i="3"/>
  <c r="U4" i="3" s="1"/>
  <c r="T3" i="3"/>
  <c r="T77" i="14" l="1"/>
  <c r="U77" i="14" s="1"/>
  <c r="AC3" i="14" s="1"/>
  <c r="AE3" i="14" s="1"/>
  <c r="AE4" i="14" s="1"/>
  <c r="T53" i="9"/>
  <c r="U53" i="9" s="1"/>
  <c r="T50" i="15"/>
  <c r="U50" i="15" s="1"/>
  <c r="T50" i="16"/>
  <c r="U50" i="16" s="1"/>
  <c r="U3" i="9"/>
  <c r="U3" i="17"/>
  <c r="U4" i="16"/>
  <c r="U3" i="14"/>
  <c r="T65" i="12"/>
  <c r="T60" i="11"/>
  <c r="T72" i="10"/>
  <c r="U72" i="10" s="1"/>
  <c r="U6" i="7"/>
  <c r="U3" i="12"/>
  <c r="U3" i="11"/>
  <c r="U3" i="10"/>
  <c r="T53" i="7"/>
  <c r="S53" i="7"/>
  <c r="S60" i="5"/>
  <c r="T9" i="5"/>
  <c r="U9" i="5" s="1"/>
  <c r="U34" i="5"/>
  <c r="U18" i="5"/>
  <c r="U41" i="5"/>
  <c r="U25" i="5"/>
  <c r="U17" i="5"/>
  <c r="U59" i="5"/>
  <c r="U8" i="5"/>
  <c r="U47" i="5"/>
  <c r="U46" i="5"/>
  <c r="U38" i="5"/>
  <c r="U30" i="5"/>
  <c r="U22" i="5"/>
  <c r="U14" i="5"/>
  <c r="U37" i="5"/>
  <c r="U26" i="5"/>
  <c r="U33" i="5"/>
  <c r="U40" i="5"/>
  <c r="U15" i="5"/>
  <c r="U7" i="5"/>
  <c r="U6" i="5"/>
  <c r="S52" i="4"/>
  <c r="T8" i="4"/>
  <c r="U8" i="4" s="1"/>
  <c r="T50" i="3"/>
  <c r="C6" i="13" s="1"/>
  <c r="U3" i="3"/>
  <c r="U60" i="11" l="1"/>
  <c r="C12" i="13"/>
  <c r="U65" i="12"/>
  <c r="C13" i="13"/>
  <c r="C11" i="13"/>
  <c r="C9" i="13"/>
  <c r="U53" i="7"/>
  <c r="U50" i="3"/>
  <c r="T60" i="5"/>
  <c r="C8" i="13" s="1"/>
  <c r="T52" i="4"/>
  <c r="C10" i="13" l="1"/>
  <c r="U52" i="4"/>
  <c r="C7" i="13"/>
  <c r="U60" i="5"/>
  <c r="C14" i="13" l="1"/>
</calcChain>
</file>

<file path=xl/sharedStrings.xml><?xml version="1.0" encoding="utf-8"?>
<sst xmlns="http://schemas.openxmlformats.org/spreadsheetml/2006/main" count="1336" uniqueCount="578">
  <si>
    <t>FECHA</t>
  </si>
  <si>
    <t>CLIENTE</t>
  </si>
  <si>
    <t>RUT</t>
  </si>
  <si>
    <t>NOMBRE</t>
  </si>
  <si>
    <t>FONO</t>
  </si>
  <si>
    <t>CORREO</t>
  </si>
  <si>
    <t>VEHICULO</t>
  </si>
  <si>
    <t>MARCA</t>
  </si>
  <si>
    <t>MODELO</t>
  </si>
  <si>
    <t>AÑO</t>
  </si>
  <si>
    <t>KILOMETROS</t>
  </si>
  <si>
    <t>COLOR</t>
  </si>
  <si>
    <t xml:space="preserve">PATENTE </t>
  </si>
  <si>
    <t>TRABAJO</t>
  </si>
  <si>
    <t>ESCAPE</t>
  </si>
  <si>
    <t>REPRO</t>
  </si>
  <si>
    <t>IMPORT.</t>
  </si>
  <si>
    <t>OTROS</t>
  </si>
  <si>
    <t>TOTAL</t>
  </si>
  <si>
    <t>COMISION</t>
  </si>
  <si>
    <t>NETO</t>
  </si>
  <si>
    <t>DETALLE</t>
  </si>
  <si>
    <t>OT</t>
  </si>
  <si>
    <t>RESERVA $25,000</t>
  </si>
  <si>
    <t>DATOS DE PAGO</t>
  </si>
  <si>
    <t>PRODUCTO</t>
  </si>
  <si>
    <t>MES</t>
  </si>
  <si>
    <t>VENTA NETA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</si>
  <si>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</si>
  <si>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</si>
  <si>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</si>
  <si>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</si>
  <si>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</si>
  <si>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</si>
  <si>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</si>
  <si>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</si>
  <si>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TOTAL </t>
  </si>
  <si>
    <t>Columna1</t>
  </si>
  <si>
    <t>COMISIONES</t>
  </si>
  <si>
    <t>VIATICOS</t>
  </si>
  <si>
    <t>ENERO</t>
  </si>
  <si>
    <t>FEBRERO</t>
  </si>
  <si>
    <t>MARZO</t>
  </si>
  <si>
    <t>ABRIL</t>
  </si>
  <si>
    <t>¡'</t>
  </si>
  <si>
    <t>BENJAMIN MORALES</t>
  </si>
  <si>
    <t>21226116-5</t>
  </si>
  <si>
    <t>SEBASTIAN TOUMA</t>
  </si>
  <si>
    <t>19671855-9</t>
  </si>
  <si>
    <t>SEBA.TOUMA@GMAIL.COM</t>
  </si>
  <si>
    <t>BMW</t>
  </si>
  <si>
    <t>220I</t>
  </si>
  <si>
    <t>BLANCO</t>
  </si>
  <si>
    <t>VPWH83</t>
  </si>
  <si>
    <t>CATBACK + COLAS CROMO</t>
  </si>
  <si>
    <t>X</t>
  </si>
  <si>
    <t>SI</t>
  </si>
  <si>
    <t>BMORALES@GMAIL.COM</t>
  </si>
  <si>
    <t>VW</t>
  </si>
  <si>
    <t>POLO</t>
  </si>
  <si>
    <t>PLATA</t>
  </si>
  <si>
    <t xml:space="preserve">DWRT52 </t>
  </si>
  <si>
    <t xml:space="preserve">REPRO STAGE 1 </t>
  </si>
  <si>
    <t>NO</t>
  </si>
  <si>
    <t>BLAS VARGAS</t>
  </si>
  <si>
    <t>19730664-5</t>
  </si>
  <si>
    <t>BLASVARGAS.MD@GMAIL.COM</t>
  </si>
  <si>
    <t>CHERY</t>
  </si>
  <si>
    <t>TIGGO 8</t>
  </si>
  <si>
    <t>GRIS</t>
  </si>
  <si>
    <t>TVBF61</t>
  </si>
  <si>
    <t>DATSUN</t>
  </si>
  <si>
    <t>240SX</t>
  </si>
  <si>
    <t>CRISTOBAL CABALLERO</t>
  </si>
  <si>
    <t>19619493-2</t>
  </si>
  <si>
    <t>CRISTOBALCABALLEROZAMORA@GMAIL.COM</t>
  </si>
  <si>
    <t>FORD</t>
  </si>
  <si>
    <t>F150</t>
  </si>
  <si>
    <t>JYWG93</t>
  </si>
  <si>
    <t>AXLE BACK SALIDA DOBLE COLAS NEGRAS</t>
  </si>
  <si>
    <t>PÍETRO LOBOS</t>
  </si>
  <si>
    <t>22173904-3</t>
  </si>
  <si>
    <t>PIETRO.LOBOS14@GMAIL.COM</t>
  </si>
  <si>
    <t>MERCEDES</t>
  </si>
  <si>
    <t>A200</t>
  </si>
  <si>
    <t>PBGT79</t>
  </si>
  <si>
    <t>x</t>
  </si>
  <si>
    <t>MANTENCIÓN</t>
  </si>
  <si>
    <t>MATIAS URZUA</t>
  </si>
  <si>
    <t>16646696-2</t>
  </si>
  <si>
    <t>MATI.URZUA@HOTMAIL.COM</t>
  </si>
  <si>
    <t>GLA200</t>
  </si>
  <si>
    <t>NEGRO</t>
  </si>
  <si>
    <t>HDXY29</t>
  </si>
  <si>
    <t>MANTENCIÓN 150.000 ACEITE, FILTRO ACEITE, POLEN Y AIRE REPARACIÓN DE ESCAPE</t>
  </si>
  <si>
    <t>ABRAHAM MUÑOZ</t>
  </si>
  <si>
    <t>20190004-2</t>
  </si>
  <si>
    <t>ABRHAHM1999XD@GMAIL.COM</t>
  </si>
  <si>
    <t>MUSTANG GT</t>
  </si>
  <si>
    <t>ROJO</t>
  </si>
  <si>
    <t>HCLW94</t>
  </si>
  <si>
    <t>REMOVER AMBOS SILENACIADORES</t>
  </si>
  <si>
    <t>JAGUAR</t>
  </si>
  <si>
    <t>MARIO LARA</t>
  </si>
  <si>
    <t>19890609-3</t>
  </si>
  <si>
    <t>MARIOSARMIENTO@1998@GMAIL.COM</t>
  </si>
  <si>
    <t>XJ</t>
  </si>
  <si>
    <t>TW5265</t>
  </si>
  <si>
    <t>MUFFLER DELETE</t>
  </si>
  <si>
    <t xml:space="preserve">MATIAS VALENCIA </t>
  </si>
  <si>
    <t>17729362-8</t>
  </si>
  <si>
    <t>MVALENCIA82@GMAIL.COM</t>
  </si>
  <si>
    <t xml:space="preserve">SUZUKI </t>
  </si>
  <si>
    <t xml:space="preserve">SWIFT </t>
  </si>
  <si>
    <t>AZUL</t>
  </si>
  <si>
    <t>VKTY44</t>
  </si>
  <si>
    <t xml:space="preserve">INSTALACIÓN CATBACK REMUS </t>
  </si>
  <si>
    <t>BORIS QUIROZ</t>
  </si>
  <si>
    <t>BQUIROZST8@GMAIL.COM</t>
  </si>
  <si>
    <t xml:space="preserve">EXPLORER </t>
  </si>
  <si>
    <t>AXLE BACK FREE MAS COLAS NEGRAS DOBLES 4"</t>
  </si>
  <si>
    <t>GOLF</t>
  </si>
  <si>
    <t xml:space="preserve">JAVIER LUNA </t>
  </si>
  <si>
    <t>19484521-9</t>
  </si>
  <si>
    <t>JAVIER.LUNA@USACH.CL</t>
  </si>
  <si>
    <t>GHPX96</t>
  </si>
  <si>
    <t>MANTENCIÓN + CAMBIO ACEITE + FILTRO ACEITE + FILTRO POLEN</t>
  </si>
  <si>
    <t>SHAMPOO NEUTRO</t>
  </si>
  <si>
    <t>SHAMPOO ACIDO</t>
  </si>
  <si>
    <t>QUICK DETAILER</t>
  </si>
  <si>
    <t>RENOVADOR NEUMATICOS</t>
  </si>
  <si>
    <t>19744905-5</t>
  </si>
  <si>
    <t>CATBACK RESTAURACIÓN</t>
  </si>
  <si>
    <t>AUTOMECANICA RVAL</t>
  </si>
  <si>
    <t>TRANSPORTES LS</t>
  </si>
  <si>
    <t>76704181-0</t>
  </si>
  <si>
    <t>TRANSPORTESLS@GMAIL.COM</t>
  </si>
  <si>
    <t>RANGER RAPTOR</t>
  </si>
  <si>
    <t>VRDF71</t>
  </si>
  <si>
    <t>VICENTE CONTRERAS</t>
  </si>
  <si>
    <t>TOYOTA</t>
  </si>
  <si>
    <t>FJ CRUISER</t>
  </si>
  <si>
    <t>INSTALACIÓN DOWNPIPE</t>
  </si>
  <si>
    <t>A250</t>
  </si>
  <si>
    <t>KLBW45</t>
  </si>
  <si>
    <t xml:space="preserve">CUT-OUT MAS CONTROL </t>
  </si>
  <si>
    <t>76515620-3</t>
  </si>
  <si>
    <t>RVAL@GMAIL.COM</t>
  </si>
  <si>
    <t>21294072-0</t>
  </si>
  <si>
    <t>VICHOCONTRERAS3@GMAIL.COM</t>
  </si>
  <si>
    <t>GONZALO QUIROZ</t>
  </si>
  <si>
    <t>16702409-3</t>
  </si>
  <si>
    <t>GONZALO.QUIROZ.C@GMAIL.COM</t>
  </si>
  <si>
    <t>LBTK53</t>
  </si>
  <si>
    <t>CUT-OUT DB-KILLER</t>
  </si>
  <si>
    <t>LINEA + BMC + BUJIAS</t>
  </si>
  <si>
    <t>SPRINTBOOSTER</t>
  </si>
  <si>
    <t>AQUILES CASTRO</t>
  </si>
  <si>
    <t>21412786-5</t>
  </si>
  <si>
    <t>AKI.EXZUQUIEL@GMAIL.COM</t>
  </si>
  <si>
    <t>MAZDA</t>
  </si>
  <si>
    <t>MX5</t>
  </si>
  <si>
    <t>SKZT99</t>
  </si>
  <si>
    <t>MULTIPLES POPS Y REPRO</t>
  </si>
  <si>
    <t>MINI</t>
  </si>
  <si>
    <t>COOPER S</t>
  </si>
  <si>
    <t>GWXL83</t>
  </si>
  <si>
    <t>DIESEL TUNING</t>
  </si>
  <si>
    <t>CAMBIO SILENCIADOR POR WICKED FLOW</t>
  </si>
  <si>
    <t>17704229-3</t>
  </si>
  <si>
    <t>BERNARDO FERNANDEZ</t>
  </si>
  <si>
    <t>BFERNEANDEZ13@GMAIL.COM</t>
  </si>
  <si>
    <t>MITSUBISHI</t>
  </si>
  <si>
    <t>LANCER</t>
  </si>
  <si>
    <t xml:space="preserve">REPARACIÓN DE MULTIPLE </t>
  </si>
  <si>
    <t>CAMBIO BUJIAS</t>
  </si>
  <si>
    <t>MARTIN MOYA</t>
  </si>
  <si>
    <t>20392484-4</t>
  </si>
  <si>
    <t>MARTINDBHW18@GMAIL.COM</t>
  </si>
  <si>
    <t>MAVERICK</t>
  </si>
  <si>
    <t>TKCV74</t>
  </si>
  <si>
    <t>JOAQUIN RENDIC</t>
  </si>
  <si>
    <t>M4</t>
  </si>
  <si>
    <t>KAUFMANN</t>
  </si>
  <si>
    <t>G800</t>
  </si>
  <si>
    <t>TVVL50</t>
  </si>
  <si>
    <t>A35S</t>
  </si>
  <si>
    <t>SPBS97</t>
  </si>
  <si>
    <t>JXXC30</t>
  </si>
  <si>
    <t>DIEGO ORDENES</t>
  </si>
  <si>
    <t>76319264-4</t>
  </si>
  <si>
    <t>16977905-8</t>
  </si>
  <si>
    <t>DIEGO.ORDENES@HOTMAIL.COM</t>
  </si>
  <si>
    <t>CHEVROLET</t>
  </si>
  <si>
    <t>SILVERADO</t>
  </si>
  <si>
    <t>CELESTE</t>
  </si>
  <si>
    <t>SB8121</t>
  </si>
  <si>
    <t>RAM</t>
  </si>
  <si>
    <t>SLRR67</t>
  </si>
  <si>
    <t>19245541-3</t>
  </si>
  <si>
    <t>JOACO.OLIVOS1@GMAIL.COM</t>
  </si>
  <si>
    <t>AXLE BACK</t>
  </si>
  <si>
    <t>DASSEN</t>
  </si>
  <si>
    <t>77537871-9</t>
  </si>
  <si>
    <t>TIGUAN</t>
  </si>
  <si>
    <t>BLANCA</t>
  </si>
  <si>
    <t>VENTA COLAS 4" DOBLE</t>
  </si>
  <si>
    <t xml:space="preserve">LUIS FERREIRA </t>
  </si>
  <si>
    <t>6613642-6</t>
  </si>
  <si>
    <t>LFERREIRA@GMAIL.COM</t>
  </si>
  <si>
    <t>DASSENINVERSIONES@GMAIL.COM</t>
  </si>
  <si>
    <t>COMBI</t>
  </si>
  <si>
    <t>AA1111</t>
  </si>
  <si>
    <t>AA2222</t>
  </si>
  <si>
    <t>SILENCIADOR A MEDIDA MAS ESCAPE</t>
  </si>
  <si>
    <t>REPARACION VALVULAS ESCAPE</t>
  </si>
  <si>
    <t>7290000 DPF Y EGR OFF BULLY DOG ECU NUEVA</t>
  </si>
  <si>
    <t xml:space="preserve">JUAN ARAYA </t>
  </si>
  <si>
    <t>15745527-3</t>
  </si>
  <si>
    <t>JARAYA21@GMAIL</t>
  </si>
  <si>
    <t>JEEP</t>
  </si>
  <si>
    <t>GRAND CHEROKEE</t>
  </si>
  <si>
    <t>GXGB88</t>
  </si>
  <si>
    <t xml:space="preserve">X-PIPE + SILENCIADOR ALTO FLUJO VALVETRONIC + COLAS 4" CROMO </t>
  </si>
  <si>
    <t>SEBASTIAN SALINAS</t>
  </si>
  <si>
    <t>KFXS81</t>
  </si>
  <si>
    <t>DOWNPIPE + PROTECCIÓN TERMICA + REPRO STAGE 2 + BUJIAS  -1 GRADO</t>
  </si>
  <si>
    <t>77152386-2</t>
  </si>
  <si>
    <t>purificadorasnamiguel930@gmail.com</t>
  </si>
  <si>
    <t>NIBALDO ARANCIBIA</t>
  </si>
  <si>
    <t>19588338-6</t>
  </si>
  <si>
    <t>NIBALDOARANCIBIA2@GMAIL.COM</t>
  </si>
  <si>
    <t>JRWH18</t>
  </si>
  <si>
    <t>CUT-OUT MAS CONTROL REMOTO</t>
  </si>
  <si>
    <t>JUAN MUÑOZ</t>
  </si>
  <si>
    <t>78278577-K</t>
  </si>
  <si>
    <t>JMUÑOZ@GMAIL.COM</t>
  </si>
  <si>
    <t>STXH86</t>
  </si>
  <si>
    <t>TOMAS MONROY</t>
  </si>
  <si>
    <t>21199168-2</t>
  </si>
  <si>
    <t>TOMAS.MONROY.RAMIREZ@GMAIL.COM</t>
  </si>
  <si>
    <t>SCIROCCO</t>
  </si>
  <si>
    <t>KSXS32</t>
  </si>
  <si>
    <t>CUT OUT MAS CONTROL</t>
  </si>
  <si>
    <t>CUT-OUT SPRINTBOOSTER + BMC</t>
  </si>
  <si>
    <t>REPARACIÓN LINEA MAS VALVULAS</t>
  </si>
  <si>
    <t>AUDI</t>
  </si>
  <si>
    <t>A7</t>
  </si>
  <si>
    <t>DOBLE CUT OUT MAS MUFFLER DELETE</t>
  </si>
  <si>
    <t>FRANCISCO BOBADILLA</t>
  </si>
  <si>
    <t>18220313-0</t>
  </si>
  <si>
    <t>FRANCISCO.BYP@GMAIL.COM</t>
  </si>
  <si>
    <t>RGTW60</t>
  </si>
  <si>
    <t>LINEA COMPLETAS MAS VALVETRONIC MAS 1 CONTROL COLAS CROMO</t>
  </si>
  <si>
    <t xml:space="preserve">GABRIEL PONCE </t>
  </si>
  <si>
    <t>PONCEMGABRIEL@GMAIL.COM</t>
  </si>
  <si>
    <t>SEBASTIAN AGUIRRE</t>
  </si>
  <si>
    <t>18298095-1</t>
  </si>
  <si>
    <t>SAGUIRREBERNAL@GMAIL.COM</t>
  </si>
  <si>
    <t>M235</t>
  </si>
  <si>
    <t>PKTT10</t>
  </si>
  <si>
    <t>CATBACK MAS SILENCIADOR ALTO FLUJO WICKED FLOW COLAS NEGRAS</t>
  </si>
  <si>
    <t>HYUNDAI</t>
  </si>
  <si>
    <t>GENESIS</t>
  </si>
  <si>
    <t>MATIAS CARVAJAL</t>
  </si>
  <si>
    <t xml:space="preserve">INSPECCIÓN </t>
  </si>
  <si>
    <t>SIMON ALVAREZ</t>
  </si>
  <si>
    <t>19112927-K</t>
  </si>
  <si>
    <t>SLAVAREZ21@GMAIL.COM</t>
  </si>
  <si>
    <t>FIAT</t>
  </si>
  <si>
    <t>BRAVO</t>
  </si>
  <si>
    <t>FTBR19</t>
  </si>
  <si>
    <t>RECUBRIMIENTO TERMICO MULTIPLE TURBO Y MODIFICAR MULTIPLE</t>
  </si>
  <si>
    <t>RENATO RIVERA</t>
  </si>
  <si>
    <t>20296580-6</t>
  </si>
  <si>
    <t>RENARIVERAA@GMAILCOM</t>
  </si>
  <si>
    <t>MAGNAFLOW</t>
  </si>
  <si>
    <t>SILENCIADOR</t>
  </si>
  <si>
    <t>STARKEN</t>
  </si>
  <si>
    <t xml:space="preserve">SILENCIADOR ALTO FLUJO MAGNAFLOW </t>
  </si>
  <si>
    <t xml:space="preserve">IVAN ARIS </t>
  </si>
  <si>
    <t>5748448-9</t>
  </si>
  <si>
    <t>VRYG76</t>
  </si>
  <si>
    <t>INSTALACIÓN LINEA</t>
  </si>
  <si>
    <t>ivanaris@elyugo.cl</t>
  </si>
  <si>
    <t>ALFONSO GAMBOA</t>
  </si>
  <si>
    <t>20508435-5</t>
  </si>
  <si>
    <t>ALFONSO@TRANSPLACILLA.COM</t>
  </si>
  <si>
    <t>GLYB87</t>
  </si>
  <si>
    <t>AXLE BACK COLAS NEGRAS 4"</t>
  </si>
  <si>
    <t>MARCELO SAN MARTIN</t>
  </si>
  <si>
    <t>19053610-6</t>
  </si>
  <si>
    <t xml:space="preserve">HYUNDAI </t>
  </si>
  <si>
    <t>ELANTRA</t>
  </si>
  <si>
    <t>MAX WOLFF</t>
  </si>
  <si>
    <t>16097255-6</t>
  </si>
  <si>
    <t>WOLFFMAX@GMAIL.COM</t>
  </si>
  <si>
    <t>JPYX59</t>
  </si>
  <si>
    <t>X PIPE</t>
  </si>
  <si>
    <t>OK</t>
  </si>
  <si>
    <t>MANUEL IGUALT</t>
  </si>
  <si>
    <t>11124974-1</t>
  </si>
  <si>
    <t>MIGUALT@GMAIL.COM</t>
  </si>
  <si>
    <t xml:space="preserve">CHEVROLET </t>
  </si>
  <si>
    <t>VERDE</t>
  </si>
  <si>
    <t>YORDANO CID</t>
  </si>
  <si>
    <t>12386675-4</t>
  </si>
  <si>
    <t>SHAMPOO HIDRO</t>
  </si>
  <si>
    <t>YORDANOCID@GMAIL.COM</t>
  </si>
  <si>
    <t>NEGRA</t>
  </si>
  <si>
    <t>TZHL10</t>
  </si>
  <si>
    <t>CUT-OUT</t>
  </si>
  <si>
    <t>MATIAS ORELLANA</t>
  </si>
  <si>
    <t>17459970-K</t>
  </si>
  <si>
    <t>MORELLANA@GMAIL.COM</t>
  </si>
  <si>
    <t>SUBARU</t>
  </si>
  <si>
    <t>WRX</t>
  </si>
  <si>
    <t>JPJW69</t>
  </si>
  <si>
    <t>CAMBIO DE FLEXIBLE</t>
  </si>
  <si>
    <t>MSANMARTIN@GMAIL.COM</t>
  </si>
  <si>
    <t>FRSD32</t>
  </si>
  <si>
    <t>BOSS SHINE SHAMPOO HIDRO</t>
  </si>
  <si>
    <t>LH6464</t>
  </si>
  <si>
    <t>SALIDA DOBLE DELANTE DE LAS RUEDAS TRASERAS MAS COLA DOBLE</t>
  </si>
  <si>
    <t>IVAN MARTINEZ</t>
  </si>
  <si>
    <t>MASERATI</t>
  </si>
  <si>
    <t>MC20</t>
  </si>
  <si>
    <t>VHPJ65</t>
  </si>
  <si>
    <t>LINEA DE ESCAPE</t>
  </si>
  <si>
    <t>HG3131</t>
  </si>
  <si>
    <t>MCARVAJAL12@GMAIL.COM</t>
  </si>
  <si>
    <t>GEOVANNI ANDREOTTI</t>
  </si>
  <si>
    <t>17559010-2</t>
  </si>
  <si>
    <t>GANDREOTTI@GMAIL.COM</t>
  </si>
  <si>
    <t>CAMARO</t>
  </si>
  <si>
    <t>KRBF83</t>
  </si>
  <si>
    <t>ORIOL SANCHO</t>
  </si>
  <si>
    <t>14720044-7</t>
  </si>
  <si>
    <t>ORIOL.SANCHO.CHILE@GMAIL.COM</t>
  </si>
  <si>
    <t>COOPER JW</t>
  </si>
  <si>
    <t>DXTB40</t>
  </si>
  <si>
    <t>PROTECTOR TERMICO</t>
  </si>
  <si>
    <t>77154858-k</t>
  </si>
  <si>
    <t>GONZALO</t>
  </si>
  <si>
    <t>GONZALOCVC00@GMAIL.COM</t>
  </si>
  <si>
    <t>HRWT93</t>
  </si>
  <si>
    <t>CATBACK VALVELTRONIC MAS COLAS NEGRAS 4"</t>
  </si>
  <si>
    <t>78058814-4</t>
  </si>
  <si>
    <t>MAVERICK GOMEZ</t>
  </si>
  <si>
    <t>77834817-9</t>
  </si>
  <si>
    <t>FINANZASBVNGGVNG.CL</t>
  </si>
  <si>
    <t>VCXD93</t>
  </si>
  <si>
    <t>SILENCIADOR ALTO FLUJO WICKED FLOW KAMIKAZE</t>
  </si>
  <si>
    <t>LUIS HIGUERAS</t>
  </si>
  <si>
    <t>21860635-0</t>
  </si>
  <si>
    <t>LHIGUERASE@ICLOUD.COM</t>
  </si>
  <si>
    <t>118D</t>
  </si>
  <si>
    <t>KPXW23</t>
  </si>
  <si>
    <t xml:space="preserve">STAGE 2 </t>
  </si>
  <si>
    <t>MAXI MUÑOZ</t>
  </si>
  <si>
    <t>19663091-0</t>
  </si>
  <si>
    <t>MUNOZMAXI940@GMAIL.COM</t>
  </si>
  <si>
    <t>KCFH19</t>
  </si>
  <si>
    <t>CATBACK MAS POPS DOWNPIPE COLAS 3" EN CROMO</t>
  </si>
  <si>
    <t>SEBASTIAN URRA</t>
  </si>
  <si>
    <t>19782565-0</t>
  </si>
  <si>
    <t>URRA.SEBA@GMAIL.COM</t>
  </si>
  <si>
    <t>NISSAN</t>
  </si>
  <si>
    <t>370Z</t>
  </si>
  <si>
    <t>CTJD98</t>
  </si>
  <si>
    <t>AXLE BACK CON VALVETREONIC INCLUYE 1 CONTROL 1 AÑO DE GARANTIA</t>
  </si>
  <si>
    <t>VICTOR QUINTEOS</t>
  </si>
  <si>
    <t>20335729-K</t>
  </si>
  <si>
    <t xml:space="preserve">CUPRA </t>
  </si>
  <si>
    <t>FORMENTOR</t>
  </si>
  <si>
    <t>SZPS42</t>
  </si>
  <si>
    <t>REPARACIÓN</t>
  </si>
  <si>
    <t>V.QINTEROSMELLA@GMAIL.COM</t>
  </si>
  <si>
    <t>MUSTANG DARK HORSE</t>
  </si>
  <si>
    <t>X-PIPE</t>
  </si>
  <si>
    <t>A35 S</t>
  </si>
  <si>
    <t>LUIS MIRANDA</t>
  </si>
  <si>
    <t>10641933-7</t>
  </si>
  <si>
    <t>VGFL70</t>
  </si>
  <si>
    <t xml:space="preserve">A35 </t>
  </si>
  <si>
    <t>PFTX88</t>
  </si>
  <si>
    <t>FERNANDO CHAPARRO</t>
  </si>
  <si>
    <t>15943479-6</t>
  </si>
  <si>
    <t>FAFENAGTI@HOTMAIL.COM</t>
  </si>
  <si>
    <t xml:space="preserve">AXLE BACK </t>
  </si>
  <si>
    <t>L.MIRANDA@TEOBSERVO.CL</t>
  </si>
  <si>
    <t>M5 COMPETITION</t>
  </si>
  <si>
    <t>BRYAN PEÑA</t>
  </si>
  <si>
    <t>26282203-6</t>
  </si>
  <si>
    <t>BPVNZLA988@HOTMAIL.COM</t>
  </si>
  <si>
    <t>JAVIER SANDOVAL</t>
  </si>
  <si>
    <t>77561443-9</t>
  </si>
  <si>
    <t>JAVIER.SANDOVALGTZ@GMAIL.COM</t>
  </si>
  <si>
    <t>MX-5</t>
  </si>
  <si>
    <t xml:space="preserve">AZUL </t>
  </si>
  <si>
    <t>VSRV25</t>
  </si>
  <si>
    <t>BORLA MAS COLA CROMO DOBLE 3"</t>
  </si>
  <si>
    <t>CRISTIAN VAZQUES</t>
  </si>
  <si>
    <t>18740760-5</t>
  </si>
  <si>
    <t>CRISTIANV4@GMAIL.COM</t>
  </si>
  <si>
    <t>SPKY13</t>
  </si>
  <si>
    <t xml:space="preserve">REINSTALACIÓN DE LINEA </t>
  </si>
  <si>
    <t>GARANTIA</t>
  </si>
  <si>
    <t>KAUFFMAN</t>
  </si>
  <si>
    <t>GJRK59</t>
  </si>
  <si>
    <t>14255675-2</t>
  </si>
  <si>
    <t>JAVIER CASADO</t>
  </si>
  <si>
    <t>25727861-1</t>
  </si>
  <si>
    <t>CHRISTOPHER PALTA</t>
  </si>
  <si>
    <t>18689213-5</t>
  </si>
  <si>
    <t>C.IGNACIOPALTA.L@GMAIL.COM</t>
  </si>
  <si>
    <t>420 GRAND COUPE</t>
  </si>
  <si>
    <t>HKRG63</t>
  </si>
  <si>
    <t>DOWNPIPE + STAGE 2 + POPS + CUT-OUT + *CAMBIO DE BUJIAS</t>
  </si>
  <si>
    <t>G500</t>
  </si>
  <si>
    <t>HVVF84</t>
  </si>
  <si>
    <t>REINSTALACIÓN ORIGINAL</t>
  </si>
  <si>
    <t>NICOLAS SEPULVEDA</t>
  </si>
  <si>
    <t>19687988-9</t>
  </si>
  <si>
    <t>JAIMICOLAS15@GMAIL.COM</t>
  </si>
  <si>
    <t>JPLL19</t>
  </si>
  <si>
    <t>WICKED FLOW CENTRAL + AXLE BACK COLA CROMO 4"</t>
  </si>
  <si>
    <t>EDUARDO MUÑOZ</t>
  </si>
  <si>
    <t>16361467-7</t>
  </si>
  <si>
    <t>E.LEBEUFFE@GMAIL.COM</t>
  </si>
  <si>
    <t>VJRL23</t>
  </si>
  <si>
    <t>CATBACK VALVETRONIC + CONTROL REMOTO + COLA CROMO</t>
  </si>
  <si>
    <t xml:space="preserve">VIATICOS </t>
  </si>
  <si>
    <t>EMILIO</t>
  </si>
  <si>
    <t>26611680-2</t>
  </si>
  <si>
    <t>MAZDA 6</t>
  </si>
  <si>
    <t>KHCF39</t>
  </si>
  <si>
    <t>VTFP77</t>
  </si>
  <si>
    <t xml:space="preserve">CLAUDIO </t>
  </si>
  <si>
    <t>77567117-3</t>
  </si>
  <si>
    <t>CLAUDIO.GOMEZ@SEGGEC.CL</t>
  </si>
  <si>
    <t>ALEXANDER SALAZAR</t>
  </si>
  <si>
    <t>21236741-9</t>
  </si>
  <si>
    <t>ALEXANDERSALAZAR088@GMAIL.COM</t>
  </si>
  <si>
    <t>VHRW61</t>
  </si>
  <si>
    <t>MODIFIC</t>
  </si>
  <si>
    <t>GABRIEL VALDERRAMA</t>
  </si>
  <si>
    <t>10837808-4</t>
  </si>
  <si>
    <t>120i</t>
  </si>
  <si>
    <t>JKHT66</t>
  </si>
  <si>
    <t>DOWNPIPE</t>
  </si>
  <si>
    <t>NICOLAS RIQUELME</t>
  </si>
  <si>
    <t>18308797-5</t>
  </si>
  <si>
    <t>525 E34</t>
  </si>
  <si>
    <t>EX6782</t>
  </si>
  <si>
    <t>REPARACIÓN ESCAPE</t>
  </si>
  <si>
    <t>IGNACIO MORAES</t>
  </si>
  <si>
    <t>20427704-4</t>
  </si>
  <si>
    <t>IGNAMOREDENZ@GMAIL.COM</t>
  </si>
  <si>
    <t>A3</t>
  </si>
  <si>
    <t>JLDW33</t>
  </si>
  <si>
    <t>LUIS PLAZA</t>
  </si>
  <si>
    <t>17079053-7</t>
  </si>
  <si>
    <t>EDUARDOPLAZA21@GMAIL.COM</t>
  </si>
  <si>
    <t>GRAND VITARA</t>
  </si>
  <si>
    <t>KSWS45</t>
  </si>
  <si>
    <t>AXLE BACK SILENCIADOR ALTO FLUJO MAS CUT OUT</t>
  </si>
  <si>
    <t>NICOLASRIQUELME12@GMAIL.COM</t>
  </si>
  <si>
    <t>GVDRR342@GMAIL.COM</t>
  </si>
  <si>
    <t>AXLE BACK FREE CON COLAS NUEVAS 3.5" CROMO</t>
  </si>
  <si>
    <t>AMAROK</t>
  </si>
  <si>
    <t>DFLK65</t>
  </si>
  <si>
    <t>BRYAN SAN MARTIN</t>
  </si>
  <si>
    <t>18848449-2</t>
  </si>
  <si>
    <t>BRSANMARTIN@GMAIL.COM</t>
  </si>
  <si>
    <t>INVERSIONES ACR</t>
  </si>
  <si>
    <t>76797593-7</t>
  </si>
  <si>
    <t>DESPACHO</t>
  </si>
  <si>
    <t>BORLA</t>
  </si>
  <si>
    <t>CROMO</t>
  </si>
  <si>
    <t>PABLO VARGAS</t>
  </si>
  <si>
    <t>16938083-K</t>
  </si>
  <si>
    <t xml:space="preserve">MANTENCION MARIPOSA </t>
  </si>
  <si>
    <t>77657779-0</t>
  </si>
  <si>
    <t>JM&amp;H CONSTRUCCIONES SPA</t>
  </si>
  <si>
    <t>DRKZ58</t>
  </si>
  <si>
    <t>PABLOHEREDI75@GMAIL.COM</t>
  </si>
  <si>
    <t>FALTA CARGAR MAPA</t>
  </si>
  <si>
    <t>VLADIMIR MENESES</t>
  </si>
  <si>
    <t>21009150-5</t>
  </si>
  <si>
    <t>VLADIMIRMENSESTP@GMAIL.COM</t>
  </si>
  <si>
    <t>DODGE</t>
  </si>
  <si>
    <t xml:space="preserve">CHALLENGER </t>
  </si>
  <si>
    <t>GBDT66</t>
  </si>
  <si>
    <t>CATBACK + REPRO</t>
  </si>
  <si>
    <t>17231800-2</t>
  </si>
  <si>
    <t>RODRIGOBENAVUDES@GMAIL.COM</t>
  </si>
  <si>
    <t>WRANGLER</t>
  </si>
  <si>
    <t>PKJD67</t>
  </si>
  <si>
    <t>CATBACK CON VALVETRONIC MAS SPRINTBOOSTER Y ALTO FLUO BMC</t>
  </si>
  <si>
    <t>RODRIGO BENAVIDES</t>
  </si>
  <si>
    <t>KPFH86</t>
  </si>
  <si>
    <t>SEBASTIAN ESCARATE</t>
  </si>
  <si>
    <t>RWWZ45</t>
  </si>
  <si>
    <t>REPRO STAGE 1</t>
  </si>
  <si>
    <t xml:space="preserve">BULLY DOG CAMBIO DE ECU, CATBACK + CHERRY BOMB </t>
  </si>
  <si>
    <t xml:space="preserve">AXEL LIZANA </t>
  </si>
  <si>
    <t>20974672-7</t>
  </si>
  <si>
    <t>AXELYERKO12@GMAIL.COM</t>
  </si>
  <si>
    <t>VOLVO</t>
  </si>
  <si>
    <t>V40</t>
  </si>
  <si>
    <t>FLKF96</t>
  </si>
  <si>
    <t>CAMBIO DE SILENCIADOR ORIGINAL POR WICKED FLOW KAMIKAZE</t>
  </si>
  <si>
    <t>CUPRA</t>
  </si>
  <si>
    <t>FORMENTOR VZ</t>
  </si>
  <si>
    <t>STXG25</t>
  </si>
  <si>
    <t>SYKH95</t>
  </si>
  <si>
    <t>77083984-K</t>
  </si>
  <si>
    <t>TRANS CARLOS ESCOBAR</t>
  </si>
  <si>
    <t>MATIAS GONZALEZ</t>
  </si>
  <si>
    <t>19410422-7</t>
  </si>
  <si>
    <t>GOZALEZ.IGMATIAS@GMAIL.COM</t>
  </si>
  <si>
    <t>CUT-OUT MAS CONTROL</t>
  </si>
  <si>
    <t>FRANCISCO FUENTES</t>
  </si>
  <si>
    <t>77702651-8</t>
  </si>
  <si>
    <t>PORSCHE</t>
  </si>
  <si>
    <t>CAYENNE S</t>
  </si>
  <si>
    <t>VTVY41</t>
  </si>
  <si>
    <t>CATBACK MAS SALIDA DOBLE Y COLAS NEGRAS</t>
  </si>
  <si>
    <t xml:space="preserve">MANTENCIÓN 8700 KMS </t>
  </si>
  <si>
    <t>FFUENTES@BLINDAJESCHILE.COM</t>
  </si>
  <si>
    <t>AXLE BACK MAS COLAS NUEVAS MAS MUFFLER DELETE</t>
  </si>
  <si>
    <t>LUIS FELIPE GUTIERREZ</t>
  </si>
  <si>
    <t>19130440-3</t>
  </si>
  <si>
    <t>LUISGUTIERREZESPINDOLA@GMAIL.COM</t>
  </si>
  <si>
    <t>SGSF99</t>
  </si>
  <si>
    <t>LINEA COMPLETA MAS SILENCIADOR ALTO FLUJO WICKED Y COLAS NUEVAS DOBLES CROMO</t>
  </si>
  <si>
    <t>KZGH22</t>
  </si>
  <si>
    <t>REEINSTALACIÓN SILENCIADOR ALTO FLUJO WICKED FLOW</t>
  </si>
  <si>
    <t xml:space="preserve">FRANCISCO MUÑOZ </t>
  </si>
  <si>
    <t>18632177-4</t>
  </si>
  <si>
    <t>FMUÑOZ@GMAIL.COM</t>
  </si>
  <si>
    <t>JORDANO CID</t>
  </si>
  <si>
    <t>COLAS DOBLES FIBRA DE CARBONO</t>
  </si>
  <si>
    <t>AGUSTIN MIRANDA</t>
  </si>
  <si>
    <t>22138467-9</t>
  </si>
  <si>
    <t>AGUSTINMIHA@GMAIL.COM</t>
  </si>
  <si>
    <t>HONDA</t>
  </si>
  <si>
    <t>CIVIC</t>
  </si>
  <si>
    <t>JKPV59</t>
  </si>
  <si>
    <t>MATIAS FURLONG</t>
  </si>
  <si>
    <t>BSGJ33</t>
  </si>
  <si>
    <t>MATIASFUR@GMAIL.COM</t>
  </si>
  <si>
    <t>CAMBIO SILENCIADOR Y COLA</t>
  </si>
  <si>
    <t xml:space="preserve">FIAT </t>
  </si>
  <si>
    <t>FIORINO CITY</t>
  </si>
  <si>
    <t xml:space="preserve">BLANCO </t>
  </si>
  <si>
    <t>HDVW46</t>
  </si>
  <si>
    <t>16924870-2</t>
  </si>
  <si>
    <t>MARCOS VILCHES</t>
  </si>
  <si>
    <t>MARCOS.VILCHES32@GMAIL.COM</t>
  </si>
  <si>
    <t xml:space="preserve">REPRO DESACTIVACIÓN </t>
  </si>
  <si>
    <t>IÑIGO OVALLE</t>
  </si>
  <si>
    <t>21502388-5</t>
  </si>
  <si>
    <t>IINIGOOVALLE@GMAIL.COM</t>
  </si>
  <si>
    <t>JVRX10</t>
  </si>
  <si>
    <t>MIGUEL PALMA</t>
  </si>
  <si>
    <t>18375904-3</t>
  </si>
  <si>
    <t>MIGUELLPALMAG@GMAIL.COM</t>
  </si>
  <si>
    <t>240 M</t>
  </si>
  <si>
    <t>MORADO</t>
  </si>
  <si>
    <t>RXYK24</t>
  </si>
  <si>
    <t>JUAN PABLO OSSA</t>
  </si>
  <si>
    <t>7003083-7</t>
  </si>
  <si>
    <t>JPOSSA@FRUCITRUS.COM</t>
  </si>
  <si>
    <t>TAHOE</t>
  </si>
  <si>
    <t>VHTG99</t>
  </si>
  <si>
    <t>CATBACK + VALVETRONIC + COLAS DOBLES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</si>
</sst>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 [$$-340A]* #,##0_ ;_ [$$-340A]* \-#,##0_ ;_ [$$-340A]* &quot;-&quot;??_ ;_ @_ "/>
    <numFmt numFmtId="165" formatCode="&quot;$&quot;#,##0"/>
    <numFmt numFmtId="166" formatCode="[$$-340A]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2" fontId="3" fillId="0" borderId="0" xfId="2" applyFont="1"/>
    <xf numFmtId="0" fontId="2" fillId="2" borderId="0" xfId="3"/>
    <xf numFmtId="0" fontId="5" fillId="2" borderId="0" xfId="3" applyFont="1"/>
    <xf numFmtId="14" fontId="3" fillId="0" borderId="0" xfId="0" applyNumberFormat="1" applyFont="1"/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2" borderId="8" xfId="3" applyFont="1" applyBorder="1" applyAlignment="1">
      <alignment horizontal="center"/>
    </xf>
    <xf numFmtId="0" fontId="5" fillId="2" borderId="9" xfId="3" applyFont="1" applyBorder="1" applyAlignment="1">
      <alignment horizontal="center"/>
    </xf>
    <xf numFmtId="0" fontId="2" fillId="2" borderId="10" xfId="3" applyBorder="1"/>
    <xf numFmtId="0" fontId="0" fillId="0" borderId="6" xfId="0" applyBorder="1"/>
    <xf numFmtId="0" fontId="2" fillId="2" borderId="8" xfId="3" applyBorder="1"/>
    <xf numFmtId="0" fontId="2" fillId="2" borderId="9" xfId="3" applyBorder="1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1" fontId="5" fillId="2" borderId="0" xfId="3" applyNumberFormat="1" applyFont="1" applyAlignment="1">
      <alignment horizontal="center"/>
    </xf>
    <xf numFmtId="0" fontId="3" fillId="0" borderId="7" xfId="0" applyFont="1" applyBorder="1"/>
    <xf numFmtId="41" fontId="0" fillId="0" borderId="0" xfId="1" applyFont="1" applyBorder="1"/>
    <xf numFmtId="41" fontId="2" fillId="2" borderId="9" xfId="1" applyFont="1" applyFill="1" applyBorder="1"/>
    <xf numFmtId="0" fontId="6" fillId="0" borderId="0" xfId="6" applyAlignment="1"/>
    <xf numFmtId="0" fontId="2" fillId="2" borderId="0" xfId="3" applyAlignment="1"/>
    <xf numFmtId="0" fontId="2" fillId="2" borderId="9" xfId="3" applyBorder="1" applyAlignment="1">
      <alignment horizontal="center"/>
    </xf>
    <xf numFmtId="0" fontId="3" fillId="4" borderId="0" xfId="5" applyFont="1" applyBorder="1" applyAlignment="1">
      <alignment horizontal="center"/>
    </xf>
    <xf numFmtId="164" fontId="3" fillId="4" borderId="0" xfId="5" applyNumberFormat="1" applyFont="1"/>
    <xf numFmtId="0" fontId="3" fillId="4" borderId="0" xfId="5" applyFont="1"/>
    <xf numFmtId="164" fontId="3" fillId="3" borderId="0" xfId="4" applyNumberFormat="1" applyFont="1"/>
    <xf numFmtId="0" fontId="3" fillId="3" borderId="0" xfId="4" applyFont="1"/>
    <xf numFmtId="42" fontId="3" fillId="3" borderId="0" xfId="2" applyFont="1" applyFill="1"/>
    <xf numFmtId="42" fontId="3" fillId="3" borderId="0" xfId="2" applyFont="1" applyFill="1" applyBorder="1" applyAlignment="1">
      <alignment horizontal="center"/>
    </xf>
    <xf numFmtId="0" fontId="5" fillId="2" borderId="0" xfId="3" applyFont="1" applyBorder="1" applyAlignment="1">
      <alignment horizontal="center"/>
    </xf>
    <xf numFmtId="164" fontId="5" fillId="2" borderId="0" xfId="3" applyNumberFormat="1" applyFont="1"/>
    <xf numFmtId="41" fontId="0" fillId="0" borderId="0" xfId="1" applyFont="1"/>
    <xf numFmtId="0" fontId="6" fillId="0" borderId="0" xfId="6"/>
    <xf numFmtId="0" fontId="0" fillId="0" borderId="0" xfId="1" applyNumberFormat="1" applyFont="1" applyBorder="1"/>
    <xf numFmtId="41" fontId="0" fillId="0" borderId="0" xfId="1" applyFont="1" applyFill="1" applyBorder="1"/>
    <xf numFmtId="41" fontId="0" fillId="0" borderId="0" xfId="1" applyFont="1" applyFill="1"/>
    <xf numFmtId="0" fontId="0" fillId="0" borderId="0" xfId="1" applyNumberFormat="1" applyFont="1" applyFill="1" applyBorder="1"/>
    <xf numFmtId="164" fontId="0" fillId="0" borderId="0" xfId="0" applyNumberFormat="1"/>
    <xf numFmtId="9" fontId="3" fillId="0" borderId="0" xfId="0" applyNumberFormat="1" applyFont="1"/>
    <xf numFmtId="0" fontId="6" fillId="0" borderId="0" xfId="6" applyFill="1" applyAlignment="1"/>
    <xf numFmtId="0" fontId="6" fillId="0" borderId="6" xfId="6" applyBorder="1"/>
    <xf numFmtId="0" fontId="4" fillId="5" borderId="1" xfId="0" applyFont="1" applyFill="1" applyBorder="1"/>
    <xf numFmtId="14" fontId="0" fillId="0" borderId="0" xfId="0" applyNumberFormat="1"/>
    <xf numFmtId="0" fontId="8" fillId="0" borderId="0" xfId="0" applyFont="1"/>
    <xf numFmtId="0" fontId="5" fillId="2" borderId="0" xfId="3" applyFont="1" applyAlignment="1"/>
    <xf numFmtId="0" fontId="0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164" fontId="3" fillId="0" borderId="1" xfId="0" applyNumberFormat="1" applyFont="1" applyBorder="1"/>
    <xf numFmtId="9" fontId="3" fillId="0" borderId="1" xfId="0" applyNumberFormat="1" applyFont="1" applyBorder="1" applyAlignment="1">
      <alignment horizontal="center"/>
    </xf>
    <xf numFmtId="0" fontId="3" fillId="4" borderId="0" xfId="5" applyFont="1" applyAlignment="1">
      <alignment horizontal="center"/>
    </xf>
    <xf numFmtId="0" fontId="0" fillId="0" borderId="0" xfId="1" applyNumberFormat="1" applyFont="1" applyFill="1" applyBorder="1" applyAlignment="1">
      <alignment horizontal="center" vertical="center"/>
    </xf>
    <xf numFmtId="41" fontId="0" fillId="0" borderId="0" xfId="1" applyFont="1" applyBorder="1" applyAlignment="1">
      <alignment horizontal="left"/>
    </xf>
    <xf numFmtId="0" fontId="0" fillId="8" borderId="1" xfId="0" applyFill="1" applyBorder="1" applyAlignment="1">
      <alignment horizontal="center"/>
    </xf>
    <xf numFmtId="42" fontId="3" fillId="9" borderId="1" xfId="2" applyFont="1" applyFill="1" applyBorder="1"/>
    <xf numFmtId="42" fontId="3" fillId="7" borderId="1" xfId="2" applyFont="1" applyFill="1" applyBorder="1"/>
    <xf numFmtId="42" fontId="0" fillId="8" borderId="1" xfId="0" applyNumberFormat="1" applyFill="1" applyBorder="1"/>
    <xf numFmtId="165" fontId="0" fillId="8" borderId="1" xfId="0" applyNumberFormat="1" applyFill="1" applyBorder="1"/>
    <xf numFmtId="0" fontId="3" fillId="6" borderId="1" xfId="0" applyFont="1" applyFill="1" applyBorder="1"/>
    <xf numFmtId="0" fontId="0" fillId="0" borderId="6" xfId="0" applyBorder="1" applyAlignment="1">
      <alignment horizontal="left"/>
    </xf>
    <xf numFmtId="0" fontId="2" fillId="2" borderId="9" xfId="3" applyBorder="1" applyAlignment="1">
      <alignment horizontal="left"/>
    </xf>
    <xf numFmtId="14" fontId="3" fillId="10" borderId="0" xfId="0" applyNumberFormat="1" applyFont="1" applyFill="1"/>
    <xf numFmtId="1" fontId="3" fillId="10" borderId="0" xfId="0" applyNumberFormat="1" applyFont="1" applyFill="1" applyAlignment="1">
      <alignment horizontal="center"/>
    </xf>
    <xf numFmtId="0" fontId="0" fillId="10" borderId="0" xfId="0" applyFill="1"/>
    <xf numFmtId="0" fontId="6" fillId="10" borderId="0" xfId="6" applyFill="1"/>
    <xf numFmtId="0" fontId="0" fillId="10" borderId="6" xfId="0" applyFill="1" applyBorder="1"/>
    <xf numFmtId="41" fontId="0" fillId="10" borderId="0" xfId="1" applyFont="1" applyFill="1" applyBorder="1"/>
    <xf numFmtId="0" fontId="0" fillId="10" borderId="0" xfId="0" applyFill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7" xfId="0" applyFont="1" applyFill="1" applyBorder="1"/>
    <xf numFmtId="42" fontId="3" fillId="10" borderId="0" xfId="2" applyFont="1" applyFill="1"/>
    <xf numFmtId="0" fontId="0" fillId="6" borderId="1" xfId="0" applyFill="1" applyBorder="1"/>
    <xf numFmtId="0" fontId="0" fillId="9" borderId="1" xfId="0" applyFill="1" applyBorder="1"/>
    <xf numFmtId="42" fontId="3" fillId="8" borderId="1" xfId="2" applyFont="1" applyFill="1" applyBorder="1"/>
    <xf numFmtId="165" fontId="0" fillId="7" borderId="1" xfId="0" applyNumberFormat="1" applyFill="1" applyBorder="1"/>
    <xf numFmtId="0" fontId="3" fillId="4" borderId="0" xfId="5" applyFont="1" applyBorder="1" applyAlignment="1">
      <alignment horizontal="center"/>
    </xf>
    <xf numFmtId="0" fontId="3" fillId="0" borderId="0" xfId="0" applyFont="1" applyAlignment="1"/>
    <xf numFmtId="1" fontId="3" fillId="0" borderId="0" xfId="0" applyNumberFormat="1" applyFont="1" applyAlignment="1"/>
    <xf numFmtId="0" fontId="0" fillId="0" borderId="0" xfId="0" applyAlignment="1"/>
    <xf numFmtId="42" fontId="3" fillId="0" borderId="0" xfId="2" applyFont="1" applyAlignment="1"/>
    <xf numFmtId="0" fontId="0" fillId="0" borderId="6" xfId="0" applyBorder="1" applyAlignment="1"/>
    <xf numFmtId="41" fontId="0" fillId="0" borderId="0" xfId="1" applyFont="1" applyBorder="1" applyAlignment="1"/>
    <xf numFmtId="0" fontId="3" fillId="0" borderId="7" xfId="0" applyFont="1" applyBorder="1" applyAlignment="1"/>
    <xf numFmtId="42" fontId="3" fillId="3" borderId="0" xfId="2" applyFont="1" applyFill="1" applyAlignment="1"/>
    <xf numFmtId="0" fontId="3" fillId="4" borderId="0" xfId="5" applyFont="1" applyAlignment="1"/>
    <xf numFmtId="0" fontId="3" fillId="3" borderId="0" xfId="4" applyFont="1" applyAlignment="1"/>
    <xf numFmtId="14" fontId="3" fillId="0" borderId="0" xfId="0" applyNumberFormat="1" applyFont="1" applyAlignment="1"/>
    <xf numFmtId="164" fontId="3" fillId="4" borderId="0" xfId="5" applyNumberFormat="1" applyFont="1" applyAlignment="1"/>
    <xf numFmtId="164" fontId="3" fillId="3" borderId="0" xfId="4" applyNumberFormat="1" applyFont="1" applyAlignment="1"/>
    <xf numFmtId="164" fontId="3" fillId="0" borderId="1" xfId="0" applyNumberFormat="1" applyFont="1" applyBorder="1" applyAlignment="1"/>
    <xf numFmtId="0" fontId="2" fillId="2" borderId="8" xfId="3" applyBorder="1" applyAlignment="1"/>
    <xf numFmtId="41" fontId="2" fillId="2" borderId="9" xfId="1" applyFont="1" applyFill="1" applyBorder="1" applyAlignment="1"/>
    <xf numFmtId="0" fontId="2" fillId="2" borderId="9" xfId="3" applyBorder="1" applyAlignment="1"/>
    <xf numFmtId="0" fontId="2" fillId="2" borderId="10" xfId="3" applyBorder="1" applyAlignment="1"/>
    <xf numFmtId="164" fontId="5" fillId="2" borderId="0" xfId="3" applyNumberFormat="1" applyFont="1" applyAlignment="1"/>
    <xf numFmtId="42" fontId="3" fillId="0" borderId="0" xfId="2" applyFont="1" applyFill="1"/>
    <xf numFmtId="0" fontId="0" fillId="0" borderId="0" xfId="0" applyFill="1"/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2" fontId="3" fillId="0" borderId="1" xfId="2" applyFont="1" applyFill="1" applyBorder="1"/>
    <xf numFmtId="165" fontId="0" fillId="0" borderId="1" xfId="0" applyNumberFormat="1" applyFill="1" applyBorder="1"/>
    <xf numFmtId="165" fontId="3" fillId="0" borderId="1" xfId="0" applyNumberFormat="1" applyFont="1" applyFill="1" applyBorder="1"/>
    <xf numFmtId="165" fontId="0" fillId="0" borderId="0" xfId="0" applyNumberFormat="1" applyFill="1"/>
    <xf numFmtId="166" fontId="0" fillId="0" borderId="0" xfId="2" applyNumberFormat="1" applyFont="1" applyAlignment="1">
      <alignment horizontal="center"/>
    </xf>
    <xf numFmtId="166" fontId="0" fillId="0" borderId="0" xfId="0" applyNumberFormat="1" applyAlignment="1"/>
    <xf numFmtId="166" fontId="0" fillId="0" borderId="0" xfId="0" applyNumberFormat="1" applyAlignment="1">
      <alignment horizontal="center"/>
    </xf>
    <xf numFmtId="0" fontId="3" fillId="0" borderId="6" xfId="0" applyFont="1" applyBorder="1" applyAlignment="1">
      <alignment horizontal="left"/>
    </xf>
    <xf numFmtId="41" fontId="0" fillId="0" borderId="0" xfId="1" applyFont="1" applyAlignment="1"/>
    <xf numFmtId="3" fontId="3" fillId="0" borderId="7" xfId="0" applyNumberFormat="1" applyFont="1" applyBorder="1" applyAlignment="1"/>
    <xf numFmtId="0" fontId="0" fillId="6" borderId="1" xfId="0" applyFill="1" applyBorder="1" applyAlignment="1"/>
    <xf numFmtId="42" fontId="0" fillId="6" borderId="1" xfId="0" applyNumberFormat="1" applyFill="1" applyBorder="1" applyAlignment="1"/>
    <xf numFmtId="0" fontId="0" fillId="11" borderId="1" xfId="0" applyFill="1" applyBorder="1" applyAlignment="1"/>
    <xf numFmtId="0" fontId="0" fillId="8" borderId="1" xfId="0" applyFill="1" applyBorder="1" applyAlignment="1"/>
    <xf numFmtId="164" fontId="0" fillId="8" borderId="1" xfId="0" applyNumberFormat="1" applyFill="1" applyBorder="1" applyAlignment="1"/>
    <xf numFmtId="42" fontId="0" fillId="8" borderId="1" xfId="0" applyNumberFormat="1" applyFill="1" applyBorder="1" applyAlignment="1"/>
    <xf numFmtId="42" fontId="0" fillId="7" borderId="1" xfId="2" applyFont="1" applyFill="1" applyBorder="1" applyAlignment="1"/>
    <xf numFmtId="0" fontId="0" fillId="6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3" fillId="4" borderId="6" xfId="5" applyFont="1" applyBorder="1" applyAlignment="1">
      <alignment horizontal="center"/>
    </xf>
    <xf numFmtId="0" fontId="3" fillId="4" borderId="0" xfId="5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2" fontId="3" fillId="6" borderId="1" xfId="2" applyFont="1" applyFill="1" applyBorder="1" applyAlignment="1">
      <alignment horizontal="center"/>
    </xf>
    <xf numFmtId="42" fontId="3" fillId="0" borderId="1" xfId="2" applyFont="1" applyFill="1" applyBorder="1" applyAlignment="1">
      <alignment horizontal="center"/>
    </xf>
  </cellXfs>
  <cellStyles count="7">
    <cellStyle name="40% - Énfasis6" xfId="4" builtinId="51"/>
    <cellStyle name="60% - Énfasis6" xfId="5" builtinId="52"/>
    <cellStyle name="Bueno" xfId="3" builtinId="26"/>
    <cellStyle name="Hipervínculo" xfId="6" builtinId="8"/>
    <cellStyle name="Millares [0]" xfId="1" builtinId="6"/>
    <cellStyle name="Moneda [0]" xfId="2" builtinId="7"/>
    <cellStyle name="Normal" xfId="0" builtinId="0"/>
  </cellStyles>
  <dxfs count="246">
    <dxf>
      <numFmt numFmtId="166" formatCode="[$$-340A]#,##0"/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</dxf>
    <dxf>
      <font>
        <b/>
      </font>
      <numFmt numFmtId="164" formatCode="_ [$$-340A]* #,##0_ ;_ [$$-340A]* \-#,##0_ ;_ [$$-340A]* &quot;-&quot;??_ ;_ @_ 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</border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</dxf>
    <dxf>
      <font>
        <b/>
      </font>
      <numFmt numFmtId="164" formatCode="_ [$$-340A]* #,##0_ ;_ [$$-340A]* \-#,##0_ ;_ [$$-340A]* &quot;-&quot;??_ ;_ @_ 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</border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</dxf>
    <dxf>
      <font>
        <b/>
      </font>
      <numFmt numFmtId="164" formatCode="_ [$$-340A]* #,##0_ ;_ [$$-340A]* \-#,##0_ ;_ [$$-340A]* &quot;-&quot;??_ ;_ @_ 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</border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</dxf>
    <dxf>
      <font>
        <b/>
      </font>
      <numFmt numFmtId="164" formatCode="_ [$$-340A]* #,##0_ ;_ [$$-340A]* \-#,##0_ ;_ [$$-340A]* &quot;-&quot;??_ ;_ @_ 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</border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</dxf>
    <dxf>
      <font>
        <b/>
      </font>
      <numFmt numFmtId="164" formatCode="_ [$$-340A]* #,##0_ ;_ [$$-340A]* \-#,##0_ ;_ [$$-340A]* &quot;-&quot;??_ ;_ @_ 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</border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</dxf>
    <dxf>
      <font>
        <b/>
      </font>
      <numFmt numFmtId="164" formatCode="_ [$$-340A]* #,##0_ ;_ [$$-340A]* \-#,##0_ ;_ [$$-340A]* &quot;-&quot;??_ ;_ @_ 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</border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</dxf>
    <dxf>
      <font>
        <b/>
      </font>
      <numFmt numFmtId="164" formatCode="_ [$$-340A]* #,##0_ ;_ [$$-340A]* \-#,##0_ ;_ [$$-340A]* &quot;-&quot;??_ ;_ @_ 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</border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</dxf>
    <dxf>
      <font>
        <b/>
      </font>
      <numFmt numFmtId="164" formatCode="_ [$$-340A]* #,##0_ ;_ [$$-340A]* \-#,##0_ ;_ [$$-340A]* &quot;-&quot;??_ ;_ @_ 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diagonalUp="0" diagonalDown="0" outline="0">
        <left style="medium">
          <color indexed="64"/>
        </left>
        <right/>
      </border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  <alignment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  <alignment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bottom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/>
      </font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  <alignment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  <alignment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bottom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/>
      </font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  <alignment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  <alignment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bottom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/>
      </font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  <alignment vertical="bottom" textRotation="0" wrapText="0" indent="0" justifyLastLine="0" shrinkToFit="0" readingOrder="0"/>
    </dxf>
    <dxf>
      <font>
        <b/>
      </font>
      <numFmt numFmtId="164" formatCode="_ [$$-340A]* #,##0_ ;_ [$$-340A]* \-#,##0_ ;_ [$$-340A]* &quot;-&quot;??_ ;_ @_ "/>
      <alignment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vertical="bottom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</font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VENTAS</a:t>
            </a:r>
            <a:r>
              <a:rPr lang="en-US" b="1" baseline="0">
                <a:solidFill>
                  <a:schemeClr val="tx1"/>
                </a:solidFill>
              </a:rPr>
              <a:t> 2026</a:t>
            </a:r>
          </a:p>
          <a:p>
            <a:pPr>
              <a:defRPr/>
            </a:pPr>
            <a:r>
              <a:rPr lang="en-US" b="1" baseline="0">
                <a:solidFill>
                  <a:schemeClr val="tx1"/>
                </a:solidFill>
              </a:rPr>
              <a:t>STEEL MONKEY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854166666666666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'VENTAS 2026'!$C$1</c:f>
              <c:strCache>
                <c:ptCount val="1"/>
                <c:pt idx="0">
                  <c:v>VENTA NETA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'VENTAS 2026'!$A$2:$A$13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'VENTAS 2026'!$C$2:$C$13</c:f>
              <c:numCache>
                <c:formatCode>[$$-340A]#,##0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1-49CD-9683-B8F00BF23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488351"/>
        <c:axId val="43495423"/>
        <c:axId val="0"/>
      </c:bar3DChart>
      <c:catAx>
        <c:axId val="4348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3495423"/>
        <c:crosses val="autoZero"/>
        <c:auto val="1"/>
        <c:lblAlgn val="ctr"/>
        <c:lblOffset val="100"/>
        <c:noMultiLvlLbl val="0"/>
      </c:catAx>
      <c:valAx>
        <c:axId val="43495423"/>
        <c:scaling>
          <c:orientation val="minMax"/>
        </c:scaling>
        <c:delete val="0"/>
        <c:axPos val="l"/>
        <c:numFmt formatCode="[$$-340A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348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10</xdr:col>
      <xdr:colOff>0</xdr:colOff>
      <xdr:row>19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0CC868-5D19-40D4-90C7-F458D67C1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3FEF850-7905-4E60-A837-6AD750351E7E}" name="Tabla1419" displayName="Tabla1419" ref="A2:V77" totalsRowShown="0" headerRowDxfId="245" dataDxfId="244">
  <autoFilter ref="A2:V77" xr:uid="{13FEF850-7905-4E60-A837-6AD750351E7E}"/>
  <tableColumns count="22">
    <tableColumn id="1" xr3:uid="{8D85EC8E-3115-4787-85D0-E48510D946DA}" name="FECHA" dataDxfId="243"/>
    <tableColumn id="25" xr3:uid="{AC5DDE66-DDA3-4037-B14D-FD6199DA0FC3}" name="OT" dataDxfId="242"/>
    <tableColumn id="2" xr3:uid="{F67C88BB-D6BC-4173-B513-52FF36A2F139}" name="NOMBRE" dataDxfId="241"/>
    <tableColumn id="3" xr3:uid="{62EA1FDF-BF86-4816-AA0B-CCEAF6CC7BAE}" name="RUT" dataDxfId="240"/>
    <tableColumn id="4" xr3:uid="{B6B23939-F239-4D47-B18B-ABDC808982C7}" name="FONO" dataDxfId="239"/>
    <tableColumn id="8" xr3:uid="{F133C66C-7BA8-4E50-B48D-E37FAC2EC29D}" name="CORREO" dataDxfId="238"/>
    <tableColumn id="10" xr3:uid="{762C3E38-0C7B-423D-9076-F4C1608E2A17}" name="MARCA" dataDxfId="237"/>
    <tableColumn id="11" xr3:uid="{15B1E63E-70C0-4EE7-A531-EF17A9E113C4}" name="MODELO" dataDxfId="236"/>
    <tableColumn id="12" xr3:uid="{D3EDD5B1-59C0-4EDA-9DD9-536AAD0870EB}" name="KILOMETROS" dataDxfId="235" dataCellStyle="Millares [0]"/>
    <tableColumn id="13" xr3:uid="{5784161D-BB4B-4C53-B1A6-0973807E7BEF}" name="AÑO" dataDxfId="234"/>
    <tableColumn id="5" xr3:uid="{40F7CB96-C54A-481F-876B-073F0B58E7E0}" name="COLOR" dataDxfId="233"/>
    <tableColumn id="6" xr3:uid="{4CA8E12E-AFF6-4FD5-8F28-34AD7E77DEFE}" name="PATENTE " dataDxfId="232"/>
    <tableColumn id="17" xr3:uid="{1A37CE98-3459-43C1-BFAF-09F978A02F5D}" name="ESCAPE" dataDxfId="231"/>
    <tableColumn id="18" xr3:uid="{09FDA9CF-051F-437B-B22B-93FEAF2F6C91}" name="REPRO" dataDxfId="230"/>
    <tableColumn id="19" xr3:uid="{5F1E4A9B-8182-4812-AA14-71944363F90C}" name="IMPORT." dataDxfId="229"/>
    <tableColumn id="24" xr3:uid="{E7562F22-885A-4BF6-9496-2C9DB68F0B93}" name="OTROS" dataDxfId="228"/>
    <tableColumn id="20" xr3:uid="{9F18D6A4-5336-4671-87F7-FF8D1CACC18C}" name="DETALLE" dataDxfId="227"/>
    <tableColumn id="27" xr3:uid="{6C2F6191-A7B9-44B2-BF9B-6D8066E5C519}" name="RESERVA $25,000" dataDxfId="226" dataCellStyle="60% - Énfasis6"/>
    <tableColumn id="29" xr3:uid="{5B4A49DC-7519-4569-AD91-95CBB375EB83}" name="TOTAL" dataDxfId="225" dataCellStyle="Moneda [0]"/>
    <tableColumn id="22" xr3:uid="{063DFF96-4179-4EB3-A54D-1E72701A4E19}" name="NETO" dataDxfId="224" dataCellStyle="60% - Énfasis6">
      <calculatedColumnFormula>S3/1.19</calculatedColumnFormula>
    </tableColumn>
    <tableColumn id="23" xr3:uid="{94952C15-5FA8-40EC-8B43-FB05F3427E28}" name="COMISION" dataDxfId="223" dataCellStyle="40% - Énfasis6">
      <calculatedColumnFormula>Tabla1419[[#This Row],[NETO]]*2%</calculatedColumnFormula>
    </tableColumn>
    <tableColumn id="7" xr3:uid="{C30F4B53-D543-464A-8AE2-55C62BC48B1E}" name="Columna1" dataDxfId="22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39879D-C451-4025-8632-D183789459BA}" name="Tabla420" displayName="Tabla420" ref="X1:Z10" totalsRowShown="0" headerRowDxfId="221" dataDxfId="220">
  <autoFilter ref="X1:Z10" xr:uid="{BE39879D-C451-4025-8632-D183789459BA}"/>
  <tableColumns count="3">
    <tableColumn id="1" xr3:uid="{73216396-C6A9-4801-8CD3-F02C7DBDDC18}" name="OT" dataDxfId="219"/>
    <tableColumn id="2" xr3:uid="{E5B7F576-B019-4C05-B026-A4E0E30EC9DF}" name="PRODUCTO" dataDxfId="218"/>
    <tableColumn id="3" xr3:uid="{44D4CB64-B09F-412C-BF42-DAA8CC238792}" name="COMISION" dataDxfId="217" dataCellStyle="Moneda [0]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0B1E8CB-A3DB-4094-AA49-52A8035E581E}" name="Tabla141921" displayName="Tabla141921" ref="A2:U50" totalsRowShown="0" headerRowDxfId="216" dataDxfId="215">
  <autoFilter ref="A2:U50" xr:uid="{20B1E8CB-A3DB-4094-AA49-52A8035E581E}"/>
  <tableColumns count="21">
    <tableColumn id="1" xr3:uid="{BDC13C73-A358-49D8-9116-814CA68AE481}" name="FECHA" dataDxfId="214"/>
    <tableColumn id="25" xr3:uid="{38477213-C3BF-47C9-861F-3226487EAA22}" name="OT" dataDxfId="213"/>
    <tableColumn id="2" xr3:uid="{E4858584-F4B7-4A37-B26C-AC5952F0CFF2}" name="NOMBRE" dataDxfId="212"/>
    <tableColumn id="3" xr3:uid="{FABADC22-B7AA-402B-8DA2-00B5FD05FF52}" name="RUT" dataDxfId="211"/>
    <tableColumn id="4" xr3:uid="{91704DB7-872B-4DCD-BBD2-7B5EB5628BC8}" name="FONO" dataDxfId="210"/>
    <tableColumn id="8" xr3:uid="{A532641B-B092-47F6-B1C3-223B4EA2D530}" name="CORREO" dataDxfId="209"/>
    <tableColumn id="10" xr3:uid="{35BB117A-CE72-4DE0-B413-68799577BB97}" name="MARCA" dataDxfId="208"/>
    <tableColumn id="11" xr3:uid="{DFA25467-B6B9-4C31-8291-8DB86149A335}" name="MODELO" dataDxfId="207"/>
    <tableColumn id="12" xr3:uid="{C2D559CB-3F15-4B91-94F3-1CF2061E0BA0}" name="KILOMETROS" dataDxfId="206" dataCellStyle="Millares [0]"/>
    <tableColumn id="13" xr3:uid="{CD39C414-1003-4C49-909B-FA68AC22AE5E}" name="AÑO" dataDxfId="205"/>
    <tableColumn id="5" xr3:uid="{B15051E6-77EE-43AC-B168-ADDCD74CB5B6}" name="COLOR" dataDxfId="204"/>
    <tableColumn id="6" xr3:uid="{6D3C3E73-A3E2-4971-A297-93B62E2F7DE5}" name="PATENTE " dataDxfId="203"/>
    <tableColumn id="17" xr3:uid="{049F40FD-D80D-49FA-99FD-B7D51EC07600}" name="ESCAPE" dataDxfId="202"/>
    <tableColumn id="18" xr3:uid="{4912CD82-1CF8-46C2-81AF-D84265095935}" name="REPRO" dataDxfId="201"/>
    <tableColumn id="19" xr3:uid="{727BD380-B3A6-4FA7-9D88-F8E7AE4C8133}" name="IMPORT." dataDxfId="200"/>
    <tableColumn id="24" xr3:uid="{745318E1-B47A-4EA0-AF46-1CC9A28B832B}" name="OTROS" dataDxfId="199"/>
    <tableColumn id="20" xr3:uid="{71881211-F4B8-461B-AB10-8F5C1A0EE5E7}" name="DETALLE" dataDxfId="198"/>
    <tableColumn id="27" xr3:uid="{0CC33683-E919-42FE-8AEA-AD620D515BB0}" name="RESERVA $25,000" dataDxfId="197" dataCellStyle="60% - Énfasis6"/>
    <tableColumn id="29" xr3:uid="{D6C5CEDD-A52A-4884-92C2-3EE41E7566F2}" name="TOTAL" dataDxfId="196" dataCellStyle="Moneda [0]"/>
    <tableColumn id="22" xr3:uid="{AE845033-0B1A-48ED-829E-ACF464FFA916}" name="NETO" dataDxfId="195" dataCellStyle="60% - Énfasis6">
      <calculatedColumnFormula>S3/1.19</calculatedColumnFormula>
    </tableColumn>
    <tableColumn id="23" xr3:uid="{5E376B92-1072-4CA3-AFCB-CC314A5CA887}" name="COMISION" dataDxfId="194" dataCellStyle="40% - Énfasis6">
      <calculatedColumnFormula>Tabla141921[[#This Row],[NETO]]*2%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C483081-5858-45E6-BD36-5D220952FE85}" name="Tabla42022" displayName="Tabla42022" ref="X1:Z10" totalsRowShown="0" headerRowDxfId="193" dataDxfId="192">
  <autoFilter ref="X1:Z10" xr:uid="{9C483081-5858-45E6-BD36-5D220952FE85}"/>
  <tableColumns count="3">
    <tableColumn id="1" xr3:uid="{07293C83-42A1-45B8-9BB1-4C2954B3F417}" name="OT" dataDxfId="191"/>
    <tableColumn id="2" xr3:uid="{70911285-763B-49B0-9C18-9E57D1D6F29E}" name="PRODUCTO" dataDxfId="190"/>
    <tableColumn id="3" xr3:uid="{90018C23-DE70-4DAC-A9DE-185F51FD8BCD}" name="COMISION" dataDxfId="189" dataCellStyle="Moneda [0]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0710DD5-EF04-4307-8E24-10D9E7546A69}" name="Tabla141923" displayName="Tabla141923" ref="A2:U50" totalsRowShown="0" headerRowDxfId="188" dataDxfId="187">
  <autoFilter ref="A2:U50" xr:uid="{90710DD5-EF04-4307-8E24-10D9E7546A69}"/>
  <tableColumns count="21">
    <tableColumn id="1" xr3:uid="{93D79D49-0C3B-4F26-8C63-7F48DE3929A3}" name="FECHA" dataDxfId="186"/>
    <tableColumn id="25" xr3:uid="{7AB65180-AF7C-4424-867E-D1AA0E253ED2}" name="OT" dataDxfId="185"/>
    <tableColumn id="2" xr3:uid="{0832FDF8-22FC-4164-BCDB-DCD9FD90C119}" name="NOMBRE" dataDxfId="184"/>
    <tableColumn id="3" xr3:uid="{C9F74738-2094-4793-9AEA-96556FDAA5BD}" name="RUT" dataDxfId="183"/>
    <tableColumn id="4" xr3:uid="{3521A45F-6899-431C-88EC-790EB87076A0}" name="FONO" dataDxfId="182"/>
    <tableColumn id="8" xr3:uid="{A5A43ADF-D7A4-4D4C-8D44-F567BCA6A91E}" name="CORREO" dataDxfId="181"/>
    <tableColumn id="10" xr3:uid="{8D28224D-7329-44FD-92B4-FCB9191524E1}" name="MARCA" dataDxfId="180"/>
    <tableColumn id="11" xr3:uid="{E2EAC1AF-79BD-4971-92EA-DA45215BFE2F}" name="MODELO" dataDxfId="179"/>
    <tableColumn id="12" xr3:uid="{9E7E9BA8-B8D4-4AA6-BF71-B8608CA6D455}" name="KILOMETROS" dataDxfId="178" dataCellStyle="Millares [0]"/>
    <tableColumn id="13" xr3:uid="{0CE3DA25-4CA8-4129-B3D1-7C3D86F1C013}" name="AÑO" dataDxfId="177"/>
    <tableColumn id="5" xr3:uid="{19B09FF5-8A4E-4876-9489-8B0DBE2AED6A}" name="COLOR" dataDxfId="176"/>
    <tableColumn id="6" xr3:uid="{3927AFAE-F265-476F-86B9-5FD6E4B3AF72}" name="PATENTE " dataDxfId="175"/>
    <tableColumn id="17" xr3:uid="{1ABD3B87-0723-48E2-931B-F19807EC156F}" name="ESCAPE" dataDxfId="174"/>
    <tableColumn id="18" xr3:uid="{D9C37074-8B70-48F3-84B5-6CA992016F28}" name="REPRO" dataDxfId="173"/>
    <tableColumn id="19" xr3:uid="{9D8707D3-D857-4279-9C6D-062D732B1537}" name="IMPORT." dataDxfId="172"/>
    <tableColumn id="24" xr3:uid="{129CB332-455E-48C1-A099-C3E40ABA7D7A}" name="OTROS" dataDxfId="171"/>
    <tableColumn id="20" xr3:uid="{9A7CBB3E-628C-46E0-9D69-F210105B6121}" name="DETALLE" dataDxfId="170"/>
    <tableColumn id="27" xr3:uid="{3B0442BA-DECC-4117-8669-B753CD029E77}" name="RESERVA $25,000" dataDxfId="169" dataCellStyle="60% - Énfasis6"/>
    <tableColumn id="29" xr3:uid="{ADE35FA8-D272-4647-A7AE-8A8378E22CBE}" name="TOTAL" dataDxfId="168" dataCellStyle="Moneda [0]"/>
    <tableColumn id="22" xr3:uid="{3A0C993F-B865-4F64-A50A-09665C97DFB7}" name="NETO" dataDxfId="167" dataCellStyle="60% - Énfasis6">
      <calculatedColumnFormula>S3/1.19</calculatedColumnFormula>
    </tableColumn>
    <tableColumn id="23" xr3:uid="{6BB66314-EE57-4EB3-92B6-D8D5EA782EDD}" name="COMISION" dataDxfId="166" dataCellStyle="40% - Énfasis6">
      <calculatedColumnFormula>Tabla141923[[#This Row],[NETO]]*2%</calculatedColumnFormula>
    </tableColumn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F1DDDB9-8DC8-4996-8750-031B029C5320}" name="Tabla42024" displayName="Tabla42024" ref="X1:Z10" totalsRowShown="0" headerRowDxfId="165" dataDxfId="164">
  <autoFilter ref="X1:Z10" xr:uid="{4F1DDDB9-8DC8-4996-8750-031B029C5320}"/>
  <tableColumns count="3">
    <tableColumn id="1" xr3:uid="{F22FD8F0-D09E-495F-9F7F-CB4129E429CD}" name="OT" dataDxfId="163"/>
    <tableColumn id="2" xr3:uid="{CE454342-03B8-438B-B20C-E3BAAFBE0F3C}" name="PRODUCTO" dataDxfId="162"/>
    <tableColumn id="3" xr3:uid="{6F74CB8C-9CA2-4B55-999D-A361DFEE69AD}" name="COMISION" dataDxfId="161" dataCellStyle="Moneda [0]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1578E9D-ECB2-4015-A1B6-9A035BDD3B37}" name="Tabla141925" displayName="Tabla141925" ref="A2:U50" totalsRowShown="0" headerRowDxfId="160" dataDxfId="159">
  <autoFilter ref="A2:U50" xr:uid="{F1578E9D-ECB2-4015-A1B6-9A035BDD3B37}"/>
  <tableColumns count="21">
    <tableColumn id="1" xr3:uid="{CE9985C5-7689-4D39-9E1D-1E1F13046F73}" name="FECHA" dataDxfId="158"/>
    <tableColumn id="25" xr3:uid="{EB6B371E-A07F-45E9-B383-939264A0A221}" name="OT" dataDxfId="157"/>
    <tableColumn id="2" xr3:uid="{B078FE80-42CC-4034-BAE7-ECBB202A52E5}" name="NOMBRE" dataDxfId="156"/>
    <tableColumn id="3" xr3:uid="{025A7607-4D2C-4951-A914-74B0890D0F9F}" name="RUT" dataDxfId="155"/>
    <tableColumn id="4" xr3:uid="{BE36ADBA-102C-47EE-BE76-3ED651E2292B}" name="FONO" dataDxfId="154"/>
    <tableColumn id="8" xr3:uid="{90FB00C4-18D8-4417-A9BD-6D7217210D15}" name="CORREO" dataDxfId="153"/>
    <tableColumn id="10" xr3:uid="{5397E2D3-8DF1-4EC8-821D-3E4EA5C7856F}" name="MARCA" dataDxfId="152"/>
    <tableColumn id="11" xr3:uid="{FD5AE018-1B75-463F-BE27-409A578C80C5}" name="MODELO" dataDxfId="151"/>
    <tableColumn id="12" xr3:uid="{F14CDD01-5F8A-47F3-B793-444AAA4CE66E}" name="KILOMETROS" dataDxfId="150" dataCellStyle="Millares [0]"/>
    <tableColumn id="13" xr3:uid="{4B1794D0-29C7-4BF6-A673-E061B59D0116}" name="AÑO" dataDxfId="149"/>
    <tableColumn id="5" xr3:uid="{3FF2C953-C113-420C-90E6-72B2056B7467}" name="COLOR" dataDxfId="148"/>
    <tableColumn id="6" xr3:uid="{F0D375C8-F444-469B-BC51-7E4B0339ECA5}" name="PATENTE " dataDxfId="147"/>
    <tableColumn id="17" xr3:uid="{836238D8-D93D-4363-9E0F-DBC670F0DDBA}" name="ESCAPE" dataDxfId="146"/>
    <tableColumn id="18" xr3:uid="{4BD0EB4D-40ED-4651-AEE8-37D2EE539498}" name="REPRO" dataDxfId="145"/>
    <tableColumn id="19" xr3:uid="{16E9744F-2940-413F-89D1-CF74798657DF}" name="IMPORT." dataDxfId="144"/>
    <tableColumn id="24" xr3:uid="{00FA3EEA-F3DC-4502-8C48-6E6E2408545C}" name="OTROS" dataDxfId="143"/>
    <tableColumn id="20" xr3:uid="{D6099D0B-6FCD-4B8C-BF1E-548CFC90EAE1}" name="DETALLE" dataDxfId="142"/>
    <tableColumn id="27" xr3:uid="{22A94B38-0A79-41D8-8F55-68EBDBF06070}" name="RESERVA $25,000" dataDxfId="141" dataCellStyle="60% - Énfasis6"/>
    <tableColumn id="29" xr3:uid="{0BCDA522-6987-4873-B77C-D8DB5DE2F5FA}" name="TOTAL" dataDxfId="140" dataCellStyle="Moneda [0]"/>
    <tableColumn id="22" xr3:uid="{59130CA0-14AA-41ED-94A5-8B605248FD03}" name="NETO" dataDxfId="139" dataCellStyle="60% - Énfasis6">
      <calculatedColumnFormula>S3/1.19</calculatedColumnFormula>
    </tableColumn>
    <tableColumn id="23" xr3:uid="{E06AD157-4F23-454C-91CB-CE5E54EA9224}" name="COMISION" dataDxfId="138" dataCellStyle="40% - Énfasis6">
      <calculatedColumnFormula>Tabla141925[[#This Row],[NETO]]*2%</calculatedColumnFormula>
    </tableColumn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26D61BF-803E-41C2-ABAF-4C26F13BC463}" name="Tabla42026" displayName="Tabla42026" ref="X1:Z10" totalsRowShown="0" headerRowDxfId="137" dataDxfId="136">
  <autoFilter ref="X1:Z10" xr:uid="{C26D61BF-803E-41C2-ABAF-4C26F13BC463}"/>
  <tableColumns count="3">
    <tableColumn id="1" xr3:uid="{2E7ED257-659F-4D7C-B292-25E02811F7A0}" name="OT" dataDxfId="135"/>
    <tableColumn id="2" xr3:uid="{CCD20385-0018-4EBD-9CF2-BBBEB297C24E}" name="PRODUCTO" dataDxfId="134"/>
    <tableColumn id="3" xr3:uid="{0AF50270-E0B0-4D44-B33A-21DACF65838D}" name="COMISION" dataDxfId="133" dataCellStyle="Moneda [0]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3BB483-B236-4476-A95A-3038155D3FEC}" name="Tabla14" displayName="Tabla14" ref="A2:U50" totalsRowShown="0">
  <autoFilter ref="A2:U50" xr:uid="{DE3BB483-B236-4476-A95A-3038155D3FEC}"/>
  <tableColumns count="21">
    <tableColumn id="1" xr3:uid="{D73E9B93-81AC-4585-A1B4-3188E6C5978B}" name="FECHA" dataDxfId="132"/>
    <tableColumn id="25" xr3:uid="{D234C284-F65E-4AF9-8EB0-32E21DA2295C}" name="OT" dataDxfId="131"/>
    <tableColumn id="2" xr3:uid="{F9ED5551-01BD-4A47-A4A2-5952F91BCE0D}" name="NOMBRE"/>
    <tableColumn id="3" xr3:uid="{2784F6C8-C52F-41B5-B1C3-E7B7D3237011}" name="RUT"/>
    <tableColumn id="4" xr3:uid="{67010D7B-CF71-46C6-96D0-99987D38CA17}" name="FONO"/>
    <tableColumn id="8" xr3:uid="{6C8D3C7B-6007-441D-B0E4-5D81FCA0DF29}" name="CORREO" dataDxfId="130"/>
    <tableColumn id="10" xr3:uid="{44C4216C-E3BF-4D22-975B-A3D8105437F7}" name="MARCA" dataDxfId="129"/>
    <tableColumn id="11" xr3:uid="{0F1C7B57-67AE-4C74-A168-E1299EF3CA15}" name="MODELO" dataDxfId="128"/>
    <tableColumn id="12" xr3:uid="{65A5B55F-B936-45FF-B82D-C0A11E77F81E}" name="KILOMETROS" dataCellStyle="Millares [0]"/>
    <tableColumn id="13" xr3:uid="{E2B777E0-2974-4D6D-923E-982A65742D83}" name="AÑO" dataDxfId="127"/>
    <tableColumn id="5" xr3:uid="{00BCFF1A-920A-4495-AEA5-C83D7E0CB0DD}" name="COLOR"/>
    <tableColumn id="6" xr3:uid="{8A3C9BBF-328E-4785-81BC-272791174CF2}" name="PATENTE "/>
    <tableColumn id="17" xr3:uid="{D322670D-68FA-4459-BBCB-88397BC25DE4}" name="ESCAPE" dataDxfId="126"/>
    <tableColumn id="18" xr3:uid="{F0281E22-4913-4D81-9A5A-F26B4D51DF2E}" name="REPRO" dataDxfId="125"/>
    <tableColumn id="19" xr3:uid="{7114844C-0C53-4245-84EC-5AC0B2BDC91B}" name="IMPORT." dataDxfId="124"/>
    <tableColumn id="24" xr3:uid="{B28014D9-ACD9-4D68-AB2D-E07DDD859379}" name="OTROS" dataDxfId="123"/>
    <tableColumn id="20" xr3:uid="{DB6A7B2C-C200-499F-8102-B4A92068E48B}" name="DETALLE" dataDxfId="122"/>
    <tableColumn id="27" xr3:uid="{1D0CF249-21C5-415D-8C23-59355A35B7D9}" name="RESERVA $25,000" dataDxfId="121" dataCellStyle="60% - Énfasis6"/>
    <tableColumn id="29" xr3:uid="{0C118AE5-5845-4D9D-A1DA-440DAFC3E0D1}" name="TOTAL" dataDxfId="120" dataCellStyle="Moneda [0]"/>
    <tableColumn id="22" xr3:uid="{89C29619-E2D8-4AA1-AFE3-597FC35B379A}" name="NETO" dataDxfId="119" dataCellStyle="60% - Énfasis6">
      <calculatedColumnFormula>S3/1.19</calculatedColumnFormula>
    </tableColumn>
    <tableColumn id="23" xr3:uid="{85BE33EF-7C24-47C5-A6C1-BE32725DBC39}" name="COMISION" dataDxfId="118" dataCellStyle="40% - Énfasis6">
      <calculatedColumnFormula>Tabla14[[#This Row],[NETO]]*2%</calculatedColumnFormula>
    </tableColumn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1B2FCB-6B87-46EB-9615-CE0DD103488B}" name="Tabla4" displayName="Tabla4" ref="X1:Z10" totalsRowShown="0">
  <autoFilter ref="X1:Z10" xr:uid="{E31B2FCB-6B87-46EB-9615-CE0DD103488B}"/>
  <tableColumns count="3">
    <tableColumn id="1" xr3:uid="{31675E80-AC1D-4574-A033-13F2C2C5A7E5}" name="OT" dataDxfId="117"/>
    <tableColumn id="2" xr3:uid="{EC7E4A38-9D94-40A8-B6E6-EB43AD16FADB}" name="PRODUCTO"/>
    <tableColumn id="3" xr3:uid="{9F50D0AA-619E-46E1-BC16-11E64C25B3A8}" name="COMISION" dataDxfId="116" dataCellStyle="Moneda [0]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B6774B-218F-4067-A17A-9680346F15B7}" name="Tabla146" displayName="Tabla146" ref="A2:U52" totalsRowShown="0">
  <autoFilter ref="A2:U52" xr:uid="{DE3BB483-B236-4476-A95A-3038155D3FEC}"/>
  <tableColumns count="21">
    <tableColumn id="1" xr3:uid="{986FECFC-3BBA-47C3-88FB-471F0590D877}" name="FECHA" dataDxfId="115"/>
    <tableColumn id="25" xr3:uid="{407B45F7-B79C-4611-A514-46512F8ECF6F}" name="OT" dataDxfId="114"/>
    <tableColumn id="2" xr3:uid="{70C067C9-5C2F-492F-B9B1-29BDD3F1BFBC}" name="NOMBRE"/>
    <tableColumn id="3" xr3:uid="{6D275E20-CDE2-4067-826E-68214D191E70}" name="RUT"/>
    <tableColumn id="4" xr3:uid="{D4D17F49-2976-4C96-8987-B3B0DB2D9460}" name="FONO"/>
    <tableColumn id="8" xr3:uid="{3BB5203F-016D-483B-A5BB-5AC24F34B9C1}" name="CORREO" dataDxfId="113"/>
    <tableColumn id="10" xr3:uid="{05924792-F121-457C-8DA8-58641C6DDCCB}" name="MARCA" dataDxfId="112"/>
    <tableColumn id="11" xr3:uid="{EAFFDDE9-029F-40D2-8ABF-5AF49411C89B}" name="MODELO" dataDxfId="111"/>
    <tableColumn id="12" xr3:uid="{65D5537A-E857-4AD9-936C-3736FEC4C99D}" name="KILOMETROS" dataCellStyle="Millares [0]"/>
    <tableColumn id="13" xr3:uid="{64F53C66-5FB6-47D7-B210-7D5FE4C79257}" name="AÑO" dataDxfId="110"/>
    <tableColumn id="5" xr3:uid="{8BF26BC9-086B-4ED7-8624-BD99E4FFD4E7}" name="COLOR"/>
    <tableColumn id="6" xr3:uid="{61F60389-1F16-4A84-8ED1-63C54CCBAE9A}" name="PATENTE "/>
    <tableColumn id="17" xr3:uid="{E4B0F9A8-649E-48AE-BA46-ADCE36CAEFCC}" name="ESCAPE" dataDxfId="109"/>
    <tableColumn id="18" xr3:uid="{34D715C7-4722-4496-A328-AEF6F1CE5C74}" name="REPRO" dataDxfId="108"/>
    <tableColumn id="19" xr3:uid="{661EC5FA-27E1-4295-81AD-C1606E27C45E}" name="IMPORT." dataDxfId="107"/>
    <tableColumn id="24" xr3:uid="{DFF8CB89-E711-4DBA-BD2D-823E31BF8FB5}" name="OTROS" dataDxfId="106"/>
    <tableColumn id="20" xr3:uid="{39E08CE9-3482-4E74-8B6E-CB71EF43343A}" name="DETALLE" dataDxfId="105"/>
    <tableColumn id="27" xr3:uid="{FCD8D2E3-4E53-4971-931F-91355564E469}" name="RESERVA $25,000" dataDxfId="104" dataCellStyle="60% - Énfasis6"/>
    <tableColumn id="29" xr3:uid="{AEBE1AB0-E87D-4224-9083-4C86450AD86F}" name="TOTAL" dataDxfId="103" dataCellStyle="Moneda [0]"/>
    <tableColumn id="22" xr3:uid="{62DF1685-47A5-481A-A190-A5B4B056A821}" name="NETO" dataDxfId="102" dataCellStyle="60% - Énfasis6">
      <calculatedColumnFormula>S3/1.19</calculatedColumnFormula>
    </tableColumn>
    <tableColumn id="23" xr3:uid="{358C13FC-8828-4DEE-8551-70B6E111297A}" name="COMISION" dataDxfId="101" dataCellStyle="40% - Énfasis6">
      <calculatedColumnFormula>Tabla146[[#This Row],[NETO]]*2%</calculatedColumnFormula>
    </tableColumn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A168F8-676D-4848-ADC6-A9594EC41EBF}" name="Tabla47" displayName="Tabla47" ref="X1:Z10" totalsRowShown="0">
  <autoFilter ref="X1:Z10" xr:uid="{E31B2FCB-6B87-46EB-9615-CE0DD103488B}"/>
  <tableColumns count="3">
    <tableColumn id="1" xr3:uid="{8468D5F3-2C14-4765-BAC5-CFC3C142CA07}" name="OT" dataDxfId="100"/>
    <tableColumn id="2" xr3:uid="{76312829-3CBD-42BA-80FC-A21DD1220AFF}" name="PRODUCTO"/>
    <tableColumn id="3" xr3:uid="{D9611898-7D47-40D3-ACE6-5D325C635638}" name="COMISION" dataDxfId="99" dataCellStyle="Moneda [0]"/>
  </tableColumns>
  <tableStyleInfo name="TableStyleMedium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47D4CC-AB5F-4BE6-922D-4ABB529B71CA}" name="Tabla1462" displayName="Tabla1462" ref="A2:U60" totalsRowShown="0">
  <autoFilter ref="A2:U60" xr:uid="{DE3BB483-B236-4476-A95A-3038155D3FEC}"/>
  <tableColumns count="21">
    <tableColumn id="1" xr3:uid="{B4C8BF14-699E-4BB5-8371-90D5173390D4}" name="FECHA" dataDxfId="98"/>
    <tableColumn id="25" xr3:uid="{D7CDE397-54C3-4564-9D95-4BF611B432F3}" name="OT" dataDxfId="97"/>
    <tableColumn id="2" xr3:uid="{1A4015A1-52CF-478E-9DEC-DDBC9D1BACA4}" name="NOMBRE"/>
    <tableColumn id="3" xr3:uid="{DCE3721C-153C-444B-8834-D7662E6C12F5}" name="RUT"/>
    <tableColumn id="4" xr3:uid="{D44A52AB-0714-4C8B-8E6A-3655151920A5}" name="FONO"/>
    <tableColumn id="8" xr3:uid="{31D7C857-F452-481D-8A37-216F25FAD776}" name="CORREO" dataDxfId="96"/>
    <tableColumn id="10" xr3:uid="{9D98CDC2-A446-4652-838E-51EF5EC14FB8}" name="MARCA" dataDxfId="95"/>
    <tableColumn id="11" xr3:uid="{1FA8346B-D658-4B53-9A5F-8C77DB589416}" name="MODELO"/>
    <tableColumn id="12" xr3:uid="{BEEDDADF-0624-4A03-AD16-BDE61B086650}" name="KILOMETROS" dataCellStyle="Millares [0]"/>
    <tableColumn id="13" xr3:uid="{A47FD3D6-48EF-4A83-8303-7B3446102B33}" name="AÑO" dataDxfId="94"/>
    <tableColumn id="5" xr3:uid="{957D1C2A-F97F-401E-BE05-198E9B78A0F9}" name="COLOR"/>
    <tableColumn id="6" xr3:uid="{12CDEDC6-ADCA-4BDB-B4CA-BFF2E311F62C}" name="PATENTE "/>
    <tableColumn id="17" xr3:uid="{6E41F608-4A74-40E0-ABB0-B687BCE61DD3}" name="ESCAPE" dataDxfId="93"/>
    <tableColumn id="18" xr3:uid="{40AF66D5-5ABB-4200-B0E5-7EB963D7119D}" name="REPRO" dataDxfId="92"/>
    <tableColumn id="19" xr3:uid="{E83DC983-C3F7-4514-BE80-E6BBF471EC0B}" name="IMPORT." dataDxfId="91"/>
    <tableColumn id="24" xr3:uid="{7BE8B347-FD03-454C-8392-C72D934EFC9F}" name="OTROS" dataDxfId="90"/>
    <tableColumn id="20" xr3:uid="{9C5FAF04-C916-4875-80C6-698056766DF9}" name="DETALLE" dataDxfId="89"/>
    <tableColumn id="27" xr3:uid="{1B91C5FA-B3ED-49F9-978F-312BC2E70699}" name="RESERVA $25,000" dataDxfId="88" dataCellStyle="60% - Énfasis6"/>
    <tableColumn id="29" xr3:uid="{4E20EEE1-CAB4-4F4F-80DC-7A82B06C2BF2}" name="TOTAL" dataDxfId="87" dataCellStyle="Moneda [0]"/>
    <tableColumn id="22" xr3:uid="{117A1F58-50CA-45F9-A2A4-1E20C3D510F2}" name="NETO" dataDxfId="86" dataCellStyle="60% - Énfasis6">
      <calculatedColumnFormula>S3/1.19</calculatedColumnFormula>
    </tableColumn>
    <tableColumn id="23" xr3:uid="{11E92DD7-AF3F-4632-9823-DD0B4E54EB5D}" name="COMISION" dataDxfId="85" dataCellStyle="40% - Énfasis6">
      <calculatedColumnFormula>Tabla1462[[#This Row],[NETO]]*2%</calculatedColumnFormula>
    </tableColumn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02EA1E-3110-4255-8960-B297DC3339B6}" name="Tabla473" displayName="Tabla473" ref="X1:Z10" totalsRowShown="0">
  <autoFilter ref="X1:Z10" xr:uid="{E31B2FCB-6B87-46EB-9615-CE0DD103488B}"/>
  <tableColumns count="3">
    <tableColumn id="1" xr3:uid="{1DF01514-68ED-4D80-8B0F-879A0A48B51A}" name="OT" dataDxfId="84"/>
    <tableColumn id="2" xr3:uid="{02E5D983-71D0-463A-8839-0165C3CD78C4}" name="PRODUCTO"/>
    <tableColumn id="3" xr3:uid="{F7AB692A-3E0F-4591-8DAF-87B0F4882205}" name="COMISION" dataDxfId="83" dataCellStyle="Moneda [0]"/>
  </tableColumns>
  <tableStyleInfo name="TableStyleMedium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A46531-157A-4792-A76B-56E4C70AE4D9}" name="Tabla14628" displayName="Tabla14628" ref="A2:U53" totalsRowShown="0">
  <autoFilter ref="A2:U53" xr:uid="{DE3BB483-B236-4476-A95A-3038155D3FEC}"/>
  <tableColumns count="21">
    <tableColumn id="1" xr3:uid="{CDFFA53C-7E4E-444F-8F68-A8E32F0FD532}" name="FECHA" dataDxfId="82"/>
    <tableColumn id="25" xr3:uid="{BB4F8CE0-5468-4007-89B5-9645D4560312}" name="OT" dataDxfId="81"/>
    <tableColumn id="2" xr3:uid="{26BB398B-A260-4452-B5CA-5F4961393707}" name="NOMBRE"/>
    <tableColumn id="3" xr3:uid="{A2DF2DBB-BD73-4567-8CFF-373BF8CB7F47}" name="RUT"/>
    <tableColumn id="4" xr3:uid="{A2ACBB7A-A4D9-4248-AF2E-4644D680725F}" name="FONO"/>
    <tableColumn id="8" xr3:uid="{ED1D80B7-9AF2-4F6A-B2BE-A1AC4A56EEAF}" name="CORREO" dataDxfId="80"/>
    <tableColumn id="10" xr3:uid="{5115F29C-C52B-4DCD-842F-703172E4464B}" name="MARCA" dataDxfId="79"/>
    <tableColumn id="11" xr3:uid="{E70655D0-FF3F-41F6-BD70-A95AB4A2F2EE}" name="MODELO"/>
    <tableColumn id="12" xr3:uid="{1387239E-86C3-439D-820D-637EA878FABE}" name="KILOMETROS" dataCellStyle="Millares [0]"/>
    <tableColumn id="13" xr3:uid="{BEBEA728-6BA5-40CF-B38A-C7F9104C46EB}" name="AÑO" dataDxfId="78"/>
    <tableColumn id="5" xr3:uid="{0B69B756-437F-49E9-ABF5-A6ED6ED5A888}" name="COLOR"/>
    <tableColumn id="6" xr3:uid="{A5508445-0B70-45E0-984B-F389453D81EF}" name="PATENTE "/>
    <tableColumn id="17" xr3:uid="{BD563267-8006-46F6-A83A-B2555AC0F034}" name="ESCAPE" dataDxfId="77"/>
    <tableColumn id="18" xr3:uid="{09D175AE-DB9D-47D8-BEE8-398EF7A1FB47}" name="REPRO" dataDxfId="76"/>
    <tableColumn id="19" xr3:uid="{67C8B4D3-B9CF-4125-8F91-351050ADA96E}" name="IMPORT." dataDxfId="75"/>
    <tableColumn id="24" xr3:uid="{5F6BD40A-D89A-4454-9291-30558702F956}" name="OTROS" dataDxfId="74"/>
    <tableColumn id="20" xr3:uid="{FAE382EE-FF0F-47DE-8CA6-6B1F670DC425}" name="DETALLE" dataDxfId="73"/>
    <tableColumn id="27" xr3:uid="{14CA7712-7959-4C4B-AA5D-B71B521B40BA}" name="RESERVA $25,000" dataDxfId="72" dataCellStyle="60% - Énfasis6"/>
    <tableColumn id="29" xr3:uid="{0FFECD32-6AFB-47D0-886F-79A913557586}" name="TOTAL" dataDxfId="71" dataCellStyle="Moneda [0]"/>
    <tableColumn id="22" xr3:uid="{731DA9A4-DF2E-4638-B76E-B55EA34DC0D0}" name="NETO" dataDxfId="70" dataCellStyle="60% - Énfasis6">
      <calculatedColumnFormula>S3/1.19</calculatedColumnFormula>
    </tableColumn>
    <tableColumn id="23" xr3:uid="{531B1CAD-72A0-4EF8-9FDF-3EA571B4A8F3}" name="COMISION" dataDxfId="69" dataCellStyle="40% - Énfasis6">
      <calculatedColumnFormula>Tabla14628[[#This Row],[NETO]]*2%</calculatedColumnFormula>
    </tableColumn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A3DD8E-6FF5-44D6-8FAD-47B797A597E4}" name="Tabla4739" displayName="Tabla4739" ref="X1:Z10" totalsRowShown="0">
  <autoFilter ref="X1:Z10" xr:uid="{E31B2FCB-6B87-46EB-9615-CE0DD103488B}"/>
  <tableColumns count="3">
    <tableColumn id="1" xr3:uid="{F6B4F928-45AF-4A8A-8A57-D78571DA087D}" name="OT" dataDxfId="68"/>
    <tableColumn id="2" xr3:uid="{025601AE-E853-45AB-9580-2C1799366489}" name="PRODUCTO"/>
    <tableColumn id="3" xr3:uid="{75A214A5-8DAA-4401-B2CC-8438EBD428FF}" name="COMISION" dataDxfId="67" dataCellStyle="Moneda [0]"/>
  </tableColumns>
  <tableStyleInfo name="TableStyleMedium10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80787AC-1EA8-4D61-B6D2-BC3FC73C7037}" name="Tabla1462827" displayName="Tabla1462827" ref="A2:U53" totalsRowShown="0">
  <autoFilter ref="A2:U53" xr:uid="{F80787AC-1EA8-4D61-B6D2-BC3FC73C7037}"/>
  <tableColumns count="21">
    <tableColumn id="1" xr3:uid="{DE5CF2CB-C158-4BE2-84B8-2C02E5934421}" name="FECHA" dataDxfId="66"/>
    <tableColumn id="25" xr3:uid="{676BABA6-63D8-482C-AD8A-5C665FAEC7F4}" name="OT" dataDxfId="65"/>
    <tableColumn id="2" xr3:uid="{92093094-7CB4-43B0-A9A8-28EFE93A9F9F}" name="NOMBRE"/>
    <tableColumn id="3" xr3:uid="{AB16ECD1-7543-438E-8179-6C071B913975}" name="RUT"/>
    <tableColumn id="4" xr3:uid="{3BBD2A23-1FE9-4849-880C-696D6E3A5DCA}" name="FONO"/>
    <tableColumn id="8" xr3:uid="{29435951-6B9E-458B-83BA-E12154DC538D}" name="CORREO" dataDxfId="64"/>
    <tableColumn id="10" xr3:uid="{7BD0C3BC-A61E-4AD3-AEB3-6FAA558442B7}" name="MARCA" dataDxfId="63"/>
    <tableColumn id="11" xr3:uid="{4089E96A-35B5-4717-9017-33D2266CB234}" name="MODELO"/>
    <tableColumn id="12" xr3:uid="{E3AAE509-FE6C-4166-AD11-B9213CF91CD2}" name="KILOMETROS" dataCellStyle="Millares [0]"/>
    <tableColumn id="13" xr3:uid="{3EF31481-A9CB-400D-94B7-D1978E493772}" name="AÑO" dataDxfId="62"/>
    <tableColumn id="5" xr3:uid="{735C4E6F-6459-4EA0-A055-5BC8AE49243F}" name="COLOR"/>
    <tableColumn id="6" xr3:uid="{7AD1F2F5-1BD0-4CC1-84A2-04340D1A0CE3}" name="PATENTE "/>
    <tableColumn id="17" xr3:uid="{E94CA47B-22D5-44BD-A8DA-33F39CC2DC5A}" name="ESCAPE" dataDxfId="61"/>
    <tableColumn id="18" xr3:uid="{18843D3E-1B6E-4483-A924-884B0B75B2AF}" name="REPRO" dataDxfId="60"/>
    <tableColumn id="19" xr3:uid="{0AEC79A8-AD47-44DA-9ADB-8B5946E55F70}" name="IMPORT." dataDxfId="59"/>
    <tableColumn id="24" xr3:uid="{93ECCA6D-8F08-46A3-9B76-17A9463E6CD5}" name="OTROS" dataDxfId="58"/>
    <tableColumn id="20" xr3:uid="{6D5D1DCC-4F69-4519-9635-347E330DF901}" name="DETALLE" dataDxfId="57"/>
    <tableColumn id="27" xr3:uid="{35321084-F592-43FB-B40B-DFA56EECDFAF}" name="RESERVA $25,000" dataDxfId="56" dataCellStyle="60% - Énfasis6"/>
    <tableColumn id="29" xr3:uid="{B5314797-4D88-4DC9-9CAC-A7D38B90721A}" name="TOTAL" dataDxfId="55" dataCellStyle="Moneda [0]"/>
    <tableColumn id="22" xr3:uid="{EE5CE631-136B-4E4D-B8B8-1B159CCEEA10}" name="NETO" dataDxfId="54" dataCellStyle="60% - Énfasis6">
      <calculatedColumnFormula>S3/1.19</calculatedColumnFormula>
    </tableColumn>
    <tableColumn id="23" xr3:uid="{D1675EC0-B973-4D68-95DF-47AFCE8DFB6E}" name="COMISION" dataDxfId="53" dataCellStyle="40% - Énfasis6">
      <calculatedColumnFormula>Tabla1462827[[#This Row],[NETO]]*2%</calculatedColumnFormula>
    </tableColumn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3F5FB97-BAB1-4F95-819C-57AFE7514B3D}" name="Tabla473928" displayName="Tabla473928" ref="X1:Z10" totalsRowShown="0">
  <autoFilter ref="X1:Z10" xr:uid="{33F5FB97-BAB1-4F95-819C-57AFE7514B3D}"/>
  <tableColumns count="3">
    <tableColumn id="1" xr3:uid="{7D98FDFD-4851-4568-B996-3E7EC438C78D}" name="OT" dataDxfId="52"/>
    <tableColumn id="2" xr3:uid="{B35235FE-38C6-44A5-8AD0-8B36EAC0A46F}" name="PRODUCTO"/>
    <tableColumn id="3" xr3:uid="{FC7A8857-0CD7-4C82-81A7-402244E40C3D}" name="COMISION" dataDxfId="51" dataCellStyle="Moneda [0]"/>
  </tableColumns>
  <tableStyleInfo name="TableStyleMedium1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B2432BD-F467-474D-9A5C-94A6B1530D6A}" name="Tabla146281012" displayName="Tabla146281012" ref="A2:U72" totalsRowShown="0">
  <autoFilter ref="A2:U72" xr:uid="{DE3BB483-B236-4476-A95A-3038155D3FEC}"/>
  <tableColumns count="21">
    <tableColumn id="1" xr3:uid="{B5430339-CEB7-4759-82F8-BBB8E99E56FC}" name="FECHA" dataDxfId="50"/>
    <tableColumn id="25" xr3:uid="{635A94D2-9AF5-4232-B08E-EFA2C26E0402}" name="OT" dataDxfId="49"/>
    <tableColumn id="2" xr3:uid="{564878B6-1ACF-4EFD-90E6-750F806D64D5}" name="NOMBRE"/>
    <tableColumn id="3" xr3:uid="{E670077C-0B9C-400B-B02B-C40ABF74BD77}" name="RUT"/>
    <tableColumn id="4" xr3:uid="{C338BBC7-3C4F-4779-BC94-12CBB381BDAE}" name="FONO"/>
    <tableColumn id="8" xr3:uid="{BE4A1160-D39A-4D38-B02E-89D3E6E43C02}" name="CORREO" dataDxfId="48"/>
    <tableColumn id="10" xr3:uid="{605E4613-127F-48F9-898D-86E7573D102A}" name="MARCA" dataDxfId="47"/>
    <tableColumn id="11" xr3:uid="{775E5A78-A636-4111-967A-B097AC9B4E6F}" name="MODELO"/>
    <tableColumn id="12" xr3:uid="{6CCA27C0-F46F-4CAF-B55E-5FC5D2E9B707}" name="KILOMETROS" dataCellStyle="Millares [0]"/>
    <tableColumn id="13" xr3:uid="{33225578-9DB9-4320-8427-5157F188185C}" name="AÑO" dataDxfId="46"/>
    <tableColumn id="5" xr3:uid="{40C27D5E-AC69-4D94-9231-E7AD860E4AE1}" name="COLOR"/>
    <tableColumn id="6" xr3:uid="{1BE7132A-447D-4F36-8B7A-5E5445502E29}" name="PATENTE "/>
    <tableColumn id="17" xr3:uid="{60E90619-10F4-4DC5-B30A-89EC73DB2375}" name="ESCAPE" dataDxfId="45"/>
    <tableColumn id="18" xr3:uid="{DABC9D5A-0F9C-4379-A57A-4695D4027A1E}" name="REPRO" dataDxfId="44"/>
    <tableColumn id="19" xr3:uid="{B1375D23-429D-4422-BCD6-43006EEEF09B}" name="IMPORT." dataDxfId="43"/>
    <tableColumn id="24" xr3:uid="{DBDA576F-76D5-4FBE-8A7D-E90350A90B51}" name="OTROS" dataDxfId="42"/>
    <tableColumn id="20" xr3:uid="{22A7D10F-6B2B-43B1-B47C-0FC6B7CDF912}" name="DETALLE" dataDxfId="41"/>
    <tableColumn id="27" xr3:uid="{6C91FC78-DC3C-40D2-8052-2AB0408C6695}" name="RESERVA $25,000" dataDxfId="40" dataCellStyle="60% - Énfasis6"/>
    <tableColumn id="29" xr3:uid="{7592BCA7-F4EE-4B49-A52E-D243BDD3506D}" name="TOTAL" dataDxfId="39" dataCellStyle="Moneda [0]"/>
    <tableColumn id="22" xr3:uid="{F1BA8270-ED1C-4EF5-86D7-0B37F38C29CA}" name="NETO" dataDxfId="38" dataCellStyle="60% - Énfasis6">
      <calculatedColumnFormula>S3/1.19</calculatedColumnFormula>
    </tableColumn>
    <tableColumn id="23" xr3:uid="{7B55A249-ECE7-4459-8DA7-63FE0BEB5EBA}" name="COMISION" dataDxfId="37" dataCellStyle="40% - Énfasis6">
      <calculatedColumnFormula>Tabla146281012[[#This Row],[NETO]]*2%</calculatedColumnFormula>
    </tableColumn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9AC21B4-B896-4E14-BC96-C3E913EC42B4}" name="Tabla47391113" displayName="Tabla47391113" ref="X1:AA10" totalsRowShown="0">
  <autoFilter ref="X1:AA10" xr:uid="{E31B2FCB-6B87-46EB-9615-CE0DD103488B}"/>
  <tableColumns count="4">
    <tableColumn id="1" xr3:uid="{1B0722CB-5350-405D-8B8D-D87649B3BDFC}" name="OT" dataDxfId="36"/>
    <tableColumn id="2" xr3:uid="{0E8C9DE2-9438-4188-B4CB-FB0842ABF8B9}" name="PRODUCTO"/>
    <tableColumn id="3" xr3:uid="{0FF11E8C-7C7B-43B4-99BA-E5A1FF82DE81}" name="COMISION" dataDxfId="35" dataCellStyle="Moneda [0]"/>
    <tableColumn id="4" xr3:uid="{ADBC7365-42B9-4269-A1C2-7E13121002BD}" name="Columna1"/>
  </tableColumns>
  <tableStyleInfo name="TableStyleMedium1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1E7580C-D9B6-4E75-8755-E1E9DD8C7BF8}" name="Tabla14628101214" displayName="Tabla14628101214" ref="A2:U60" totalsRowShown="0">
  <autoFilter ref="A2:U60" xr:uid="{DE3BB483-B236-4476-A95A-3038155D3FEC}"/>
  <tableColumns count="21">
    <tableColumn id="1" xr3:uid="{29877F62-6BB1-42AD-BC2A-2D799261F374}" name="FECHA" dataDxfId="34"/>
    <tableColumn id="25" xr3:uid="{75ADFC16-AA34-4C62-BC41-407CE31626C6}" name="OT" dataDxfId="33"/>
    <tableColumn id="2" xr3:uid="{87D1529D-CF49-4FB3-871F-E24753123523}" name="NOMBRE"/>
    <tableColumn id="3" xr3:uid="{265F4C57-CF0D-4E1C-9D12-8DF6E2072EBB}" name="RUT"/>
    <tableColumn id="4" xr3:uid="{320A21B5-5B0D-4450-B007-80E28AD4E6FC}" name="FONO"/>
    <tableColumn id="8" xr3:uid="{CDCEF79C-6375-4F7C-B5DD-2D6D5A517BDE}" name="CORREO" dataDxfId="32"/>
    <tableColumn id="10" xr3:uid="{AE0D4A37-31AC-4A84-BF34-472E5B3DDA60}" name="MARCA" dataDxfId="31"/>
    <tableColumn id="11" xr3:uid="{02518875-C38A-490D-8F8A-437F17ADC68A}" name="MODELO"/>
    <tableColumn id="12" xr3:uid="{AD636282-91E7-468F-8390-A209CBAE1EB8}" name="KILOMETROS" dataCellStyle="Millares [0]"/>
    <tableColumn id="13" xr3:uid="{C8F4869E-FAE2-482E-9C74-6392A145B0E3}" name="AÑO" dataDxfId="30"/>
    <tableColumn id="5" xr3:uid="{CCA341E0-9EC1-478B-828B-FBD9216C9109}" name="COLOR"/>
    <tableColumn id="6" xr3:uid="{2818AD5E-12BC-448E-AA58-9483F60A380A}" name="PATENTE "/>
    <tableColumn id="17" xr3:uid="{88714B47-8125-48BB-AC06-A29E52F033D7}" name="ESCAPE" dataDxfId="29"/>
    <tableColumn id="18" xr3:uid="{CCBF2854-4401-4A9D-95B6-15896B45DAFB}" name="REPRO" dataDxfId="28"/>
    <tableColumn id="19" xr3:uid="{CDDB3678-46B6-4754-969B-A10AF4C18DA9}" name="IMPORT." dataDxfId="27"/>
    <tableColumn id="24" xr3:uid="{4D4FF94C-4048-46D3-8287-FEA5B697F776}" name="OTROS" dataDxfId="26"/>
    <tableColumn id="20" xr3:uid="{BDD6136D-702D-4DB1-BC7C-B39CA3829A2E}" name="DETALLE" dataDxfId="25"/>
    <tableColumn id="27" xr3:uid="{51691B77-CB7C-4BCD-93F2-4F516A7D7328}" name="RESERVA $25,000" dataDxfId="24" dataCellStyle="60% - Énfasis6"/>
    <tableColumn id="29" xr3:uid="{1D7094FB-8A3E-4D70-875D-9FA8E7A76B2B}" name="TOTAL" dataDxfId="23" dataCellStyle="Moneda [0]"/>
    <tableColumn id="22" xr3:uid="{C00BC100-69A1-4EB9-B4BE-1A05AFC5A09A}" name="NETO" dataDxfId="22" dataCellStyle="60% - Énfasis6">
      <calculatedColumnFormula>S3/1.19</calculatedColumnFormula>
    </tableColumn>
    <tableColumn id="23" xr3:uid="{F0D5ADF7-D9B4-4B17-ADAE-ECCE53BC4D61}" name="COMISION" dataDxfId="21" dataCellStyle="40% - Énfasis6">
      <calculatedColumnFormula>Tabla14628101214[[#This Row],[NETO]]*2%</calculatedColumnFormula>
    </tableColumn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B24C423-4DF6-4420-93EA-5178A82B4235}" name="Tabla4739111315" displayName="Tabla4739111315" ref="W1:Y10" totalsRowShown="0">
  <autoFilter ref="W1:Y10" xr:uid="{E31B2FCB-6B87-46EB-9615-CE0DD103488B}"/>
  <tableColumns count="3">
    <tableColumn id="1" xr3:uid="{0C085BD6-D1C0-4ED4-A9E3-9849CC5F89C8}" name="OT" dataDxfId="20"/>
    <tableColumn id="2" xr3:uid="{441434F6-E440-44E9-8B92-AD141D022A13}" name="PRODUCTO"/>
    <tableColumn id="3" xr3:uid="{E5377C00-D2C9-4DA2-B3A4-156482858AB7}" name="COMISION" dataDxfId="19" dataCellStyle="Moneda [0]"/>
  </tableColumns>
  <tableStyleInfo name="TableStyleMedium1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863F4F5-645F-40F4-8D77-64558F928104}" name="Tabla1462810121416" displayName="Tabla1462810121416" ref="A2:U65" totalsRowShown="0">
  <autoFilter ref="A2:U65" xr:uid="{DE3BB483-B236-4476-A95A-3038155D3FEC}"/>
  <tableColumns count="21">
    <tableColumn id="1" xr3:uid="{E0C061A0-0C97-46A7-B87B-D93CC81F63E9}" name="FECHA" dataDxfId="18"/>
    <tableColumn id="25" xr3:uid="{62657702-B64B-4E32-8BAC-A8673BF826E6}" name="OT" dataDxfId="17"/>
    <tableColumn id="2" xr3:uid="{F2598F8D-D982-4191-8B8D-63025514B491}" name="NOMBRE"/>
    <tableColumn id="3" xr3:uid="{3B743C71-1CAB-4958-A1CF-E1501A074A1B}" name="RUT"/>
    <tableColumn id="4" xr3:uid="{DEFCCFAA-490C-42E6-BA7D-9D19F5997499}" name="FONO"/>
    <tableColumn id="8" xr3:uid="{B621ECC7-B322-4CF6-A168-04EDDCB444B1}" name="CORREO" dataDxfId="16"/>
    <tableColumn id="10" xr3:uid="{3DC188D3-E069-4404-880D-F8C1B4F6758D}" name="MARCA" dataDxfId="15"/>
    <tableColumn id="11" xr3:uid="{F977077A-D203-405C-98D7-D59685EB6503}" name="MODELO"/>
    <tableColumn id="12" xr3:uid="{2AC90141-7896-4812-9A60-69FDB9FA8F3C}" name="KILOMETROS" dataCellStyle="Millares [0]"/>
    <tableColumn id="13" xr3:uid="{B4CE5E9F-6282-4B4C-AEF2-C75155C9C1D3}" name="AÑO" dataDxfId="14"/>
    <tableColumn id="5" xr3:uid="{12385FFE-87AA-4A4C-BA54-2BC46E5A275B}" name="COLOR"/>
    <tableColumn id="6" xr3:uid="{EB0EE40D-F245-4F38-8129-EDB4629FF9B6}" name="PATENTE "/>
    <tableColumn id="17" xr3:uid="{3FFFDB3B-F501-495C-AAAF-DD6924878A0A}" name="ESCAPE" dataDxfId="13"/>
    <tableColumn id="18" xr3:uid="{BD4C992E-2EAA-4B65-80C8-210A02C4B3AB}" name="REPRO" dataDxfId="12"/>
    <tableColumn id="19" xr3:uid="{40A3B4E7-C54F-48D3-83E2-FDFADBD10076}" name="IMPORT." dataDxfId="11"/>
    <tableColumn id="24" xr3:uid="{2FA2C1FA-A95E-4A23-A894-3002E9072398}" name="OTROS" dataDxfId="10"/>
    <tableColumn id="20" xr3:uid="{3925ED85-80F7-471D-B520-B09C4BF9860F}" name="DETALLE" dataDxfId="9"/>
    <tableColumn id="27" xr3:uid="{22BC76C3-2F1F-4D35-8F80-DA9DBE8F9770}" name="RESERVA $25,000" dataDxfId="8" dataCellStyle="60% - Énfasis6"/>
    <tableColumn id="29" xr3:uid="{0EB814B4-04CE-43AC-BE99-BFFCDFC8D4F0}" name="TOTAL" dataDxfId="7" dataCellStyle="Moneda [0]"/>
    <tableColumn id="22" xr3:uid="{45700569-82DE-4E71-9051-06293213DE2B}" name="NETO" dataDxfId="6" dataCellStyle="60% - Énfasis6">
      <calculatedColumnFormula>S3/1.19</calculatedColumnFormula>
    </tableColumn>
    <tableColumn id="23" xr3:uid="{AA7E8262-86A3-4364-8C50-AAAEE5F531DA}" name="COMISION" dataDxfId="5" dataCellStyle="40% - Énfasis6">
      <calculatedColumnFormula>Tabla1462810121416[[#This Row],[NETO]]*2%</calculatedColumnFormula>
    </tableColumn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13398A5-F497-42AA-B711-174D9E499C55}" name="Tabla473911131517" displayName="Tabla473911131517" ref="X1:Z10" totalsRowShown="0">
  <autoFilter ref="X1:Z10" xr:uid="{E31B2FCB-6B87-46EB-9615-CE0DD103488B}"/>
  <tableColumns count="3">
    <tableColumn id="1" xr3:uid="{23406DAF-9325-42E4-BB4F-29F33111E62B}" name="OT" dataDxfId="4"/>
    <tableColumn id="2" xr3:uid="{4F9E16E2-C4D1-47B4-8EC6-C6EA0091180A}" name="PRODUCTO"/>
    <tableColumn id="3" xr3:uid="{76F49340-817E-4910-9F9C-D93E5FAA1FB1}" name="COMISION" dataDxfId="3" dataCellStyle="Moneda [0]"/>
  </tableColumns>
  <tableStyleInfo name="TableStyleMedium10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9541CCE-BC59-41DF-8A95-259CAF7A83CB}" name="Tabla17" displayName="Tabla17" ref="A1:C14" totalsRowShown="0">
  <autoFilter ref="A1:C14" xr:uid="{59541CCE-BC59-41DF-8A95-259CAF7A83CB}"/>
  <tableColumns count="3">
    <tableColumn id="1" xr3:uid="{FD51B5D3-77A7-4945-9D56-3877A49CE6BA}" name="MES" dataDxfId="2"/>
    <tableColumn id="3" xr3:uid="{FD800AD1-0005-435F-AC70-AEE9BE6F813B}" name="OT" dataDxfId="1"/>
    <tableColumn id="2" xr3:uid="{CFDAC26C-DFDC-4F7A-8F33-CA156F63D6AB}" name="VENTA NETA" dataDxfId="0">
      <calculatedColumnFormula>JUNIO!T50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RANSPORTESLS@GMAIL.COM" TargetMode="External"/><Relationship Id="rId18" Type="http://schemas.openxmlformats.org/officeDocument/2006/relationships/hyperlink" Target="mailto:AKI.EXZUQUIEL@GMAIL.COM" TargetMode="External"/><Relationship Id="rId26" Type="http://schemas.openxmlformats.org/officeDocument/2006/relationships/hyperlink" Target="mailto:JARAYA21@GMAIL" TargetMode="External"/><Relationship Id="rId39" Type="http://schemas.openxmlformats.org/officeDocument/2006/relationships/hyperlink" Target="mailto:MIGUALT@GMAIL.COM" TargetMode="External"/><Relationship Id="rId21" Type="http://schemas.openxmlformats.org/officeDocument/2006/relationships/hyperlink" Target="mailto:DIEGO.ORDENES@HOTMAIL.COM" TargetMode="External"/><Relationship Id="rId34" Type="http://schemas.openxmlformats.org/officeDocument/2006/relationships/hyperlink" Target="mailto:SLAVAREZ21@GMAIL.COM" TargetMode="External"/><Relationship Id="rId42" Type="http://schemas.openxmlformats.org/officeDocument/2006/relationships/hyperlink" Target="mailto:MSANMARTIN@GMAIL.COM" TargetMode="External"/><Relationship Id="rId47" Type="http://schemas.openxmlformats.org/officeDocument/2006/relationships/hyperlink" Target="mailto:LHIGUERASE@ICLOUD.COM" TargetMode="External"/><Relationship Id="rId50" Type="http://schemas.openxmlformats.org/officeDocument/2006/relationships/hyperlink" Target="mailto:URRA.SEBA@GMAIL.COM" TargetMode="External"/><Relationship Id="rId55" Type="http://schemas.openxmlformats.org/officeDocument/2006/relationships/hyperlink" Target="mailto:JAVIER.SANDOVALGTZ@GMAIL.COM" TargetMode="External"/><Relationship Id="rId7" Type="http://schemas.openxmlformats.org/officeDocument/2006/relationships/hyperlink" Target="mailto:ABRHAHM1999XD@GMAIL.COM" TargetMode="External"/><Relationship Id="rId2" Type="http://schemas.openxmlformats.org/officeDocument/2006/relationships/hyperlink" Target="mailto:BMORALES@GMAIL.COM" TargetMode="External"/><Relationship Id="rId16" Type="http://schemas.openxmlformats.org/officeDocument/2006/relationships/hyperlink" Target="mailto:GONZALO.QUIROZ.C@GMAIL.COM" TargetMode="External"/><Relationship Id="rId29" Type="http://schemas.openxmlformats.org/officeDocument/2006/relationships/hyperlink" Target="mailto:JMU&#209;OZ@GMAIL.COM" TargetMode="External"/><Relationship Id="rId11" Type="http://schemas.openxmlformats.org/officeDocument/2006/relationships/hyperlink" Target="mailto:JAVIER.LUNA@USACH.CL" TargetMode="External"/><Relationship Id="rId24" Type="http://schemas.openxmlformats.org/officeDocument/2006/relationships/hyperlink" Target="mailto:LFERREIRA@GMAIL.COM" TargetMode="External"/><Relationship Id="rId32" Type="http://schemas.openxmlformats.org/officeDocument/2006/relationships/hyperlink" Target="mailto:PONCEMGABRIEL@GMAIL.COM" TargetMode="External"/><Relationship Id="rId37" Type="http://schemas.openxmlformats.org/officeDocument/2006/relationships/hyperlink" Target="mailto:ALFONSO@TRANSPLACILLA.COM" TargetMode="External"/><Relationship Id="rId40" Type="http://schemas.openxmlformats.org/officeDocument/2006/relationships/hyperlink" Target="mailto:YORDANOCID@GMAIL.COM" TargetMode="External"/><Relationship Id="rId45" Type="http://schemas.openxmlformats.org/officeDocument/2006/relationships/hyperlink" Target="mailto:ORIOL.SANCHO.CHILE@GMAIL.COM" TargetMode="External"/><Relationship Id="rId53" Type="http://schemas.openxmlformats.org/officeDocument/2006/relationships/hyperlink" Target="mailto:L.MIRANDA@TEOBSERVO.CL" TargetMode="External"/><Relationship Id="rId58" Type="http://schemas.openxmlformats.org/officeDocument/2006/relationships/hyperlink" Target="mailto:JAIMICOLAS15@GMAIL.COM" TargetMode="External"/><Relationship Id="rId5" Type="http://schemas.openxmlformats.org/officeDocument/2006/relationships/hyperlink" Target="mailto:PIETRO.LOBOS14@GMAIL.COM" TargetMode="External"/><Relationship Id="rId61" Type="http://schemas.openxmlformats.org/officeDocument/2006/relationships/table" Target="../tables/table2.xml"/><Relationship Id="rId19" Type="http://schemas.openxmlformats.org/officeDocument/2006/relationships/hyperlink" Target="mailto:BFERNEANDEZ13@GMAIL.COM" TargetMode="External"/><Relationship Id="rId14" Type="http://schemas.openxmlformats.org/officeDocument/2006/relationships/hyperlink" Target="mailto:RVAL@GMAIL.COM" TargetMode="External"/><Relationship Id="rId22" Type="http://schemas.openxmlformats.org/officeDocument/2006/relationships/hyperlink" Target="mailto:TRANSPORTESLS@GMAIL.COM" TargetMode="External"/><Relationship Id="rId27" Type="http://schemas.openxmlformats.org/officeDocument/2006/relationships/hyperlink" Target="mailto:purificadorasnamiguel930@gmail.com" TargetMode="External"/><Relationship Id="rId30" Type="http://schemas.openxmlformats.org/officeDocument/2006/relationships/hyperlink" Target="mailto:TOMAS.MONROY.RAMIREZ@GMAIL.COM" TargetMode="External"/><Relationship Id="rId35" Type="http://schemas.openxmlformats.org/officeDocument/2006/relationships/hyperlink" Target="mailto:RENARIVERAA@GMAILCOM" TargetMode="External"/><Relationship Id="rId43" Type="http://schemas.openxmlformats.org/officeDocument/2006/relationships/hyperlink" Target="mailto:MCARVAJAL12@GMAIL.COM" TargetMode="External"/><Relationship Id="rId48" Type="http://schemas.openxmlformats.org/officeDocument/2006/relationships/hyperlink" Target="mailto:BLASVARGAS.MD@GMAIL.COM" TargetMode="External"/><Relationship Id="rId56" Type="http://schemas.openxmlformats.org/officeDocument/2006/relationships/hyperlink" Target="mailto:CRISTIANV4@GMAIL.COM" TargetMode="External"/><Relationship Id="rId8" Type="http://schemas.openxmlformats.org/officeDocument/2006/relationships/hyperlink" Target="mailto:MARIOSARMIENTO@1998@GMAIL.COM" TargetMode="External"/><Relationship Id="rId51" Type="http://schemas.openxmlformats.org/officeDocument/2006/relationships/hyperlink" Target="mailto:V.QINTEROSMELLA@GMAIL.COM" TargetMode="External"/><Relationship Id="rId3" Type="http://schemas.openxmlformats.org/officeDocument/2006/relationships/hyperlink" Target="mailto:BLASVARGAS.MD@GMAIL.COM" TargetMode="External"/><Relationship Id="rId12" Type="http://schemas.openxmlformats.org/officeDocument/2006/relationships/hyperlink" Target="mailto:MVALENCIA82@GMAIL.COM" TargetMode="External"/><Relationship Id="rId17" Type="http://schemas.openxmlformats.org/officeDocument/2006/relationships/hyperlink" Target="mailto:MATI.URZUA@HOTMAIL.COM" TargetMode="External"/><Relationship Id="rId25" Type="http://schemas.openxmlformats.org/officeDocument/2006/relationships/hyperlink" Target="mailto:DASSENINVERSIONES@GMAIL.COM" TargetMode="External"/><Relationship Id="rId33" Type="http://schemas.openxmlformats.org/officeDocument/2006/relationships/hyperlink" Target="mailto:SAGUIRREBERNAL@GMAIL.COM" TargetMode="External"/><Relationship Id="rId38" Type="http://schemas.openxmlformats.org/officeDocument/2006/relationships/hyperlink" Target="mailto:WOLFFMAX@GMAIL.COM" TargetMode="External"/><Relationship Id="rId46" Type="http://schemas.openxmlformats.org/officeDocument/2006/relationships/hyperlink" Target="mailto:GONZALOCVC00@GMAIL.COM" TargetMode="External"/><Relationship Id="rId59" Type="http://schemas.openxmlformats.org/officeDocument/2006/relationships/hyperlink" Target="mailto:E.LEBEUFFE@GMAIL.COM" TargetMode="External"/><Relationship Id="rId20" Type="http://schemas.openxmlformats.org/officeDocument/2006/relationships/hyperlink" Target="mailto:MARTINDBHW18@GMAIL.COM" TargetMode="External"/><Relationship Id="rId41" Type="http://schemas.openxmlformats.org/officeDocument/2006/relationships/hyperlink" Target="mailto:MORELLANA@GMAIL.COM" TargetMode="External"/><Relationship Id="rId54" Type="http://schemas.openxmlformats.org/officeDocument/2006/relationships/hyperlink" Target="mailto:BPVNZLA988@HOTMAIL.COM" TargetMode="External"/><Relationship Id="rId1" Type="http://schemas.openxmlformats.org/officeDocument/2006/relationships/hyperlink" Target="mailto:SEBA.TOUMA@GMAIL.COM" TargetMode="External"/><Relationship Id="rId6" Type="http://schemas.openxmlformats.org/officeDocument/2006/relationships/hyperlink" Target="mailto:MATI.URZUA@HOTMAIL.COM" TargetMode="External"/><Relationship Id="rId15" Type="http://schemas.openxmlformats.org/officeDocument/2006/relationships/hyperlink" Target="mailto:VICHOCONTRERAS3@GMAIL.COM" TargetMode="External"/><Relationship Id="rId23" Type="http://schemas.openxmlformats.org/officeDocument/2006/relationships/hyperlink" Target="mailto:JOACO.OLIVOS1@GMAIL.COM" TargetMode="External"/><Relationship Id="rId28" Type="http://schemas.openxmlformats.org/officeDocument/2006/relationships/hyperlink" Target="mailto:NIBALDOARANCIBIA2@GMAIL.COM" TargetMode="External"/><Relationship Id="rId36" Type="http://schemas.openxmlformats.org/officeDocument/2006/relationships/hyperlink" Target="mailto:ivanaris@elyugo.cl" TargetMode="External"/><Relationship Id="rId49" Type="http://schemas.openxmlformats.org/officeDocument/2006/relationships/hyperlink" Target="mailto:MUNOZMAXI940@GMAIL.COM" TargetMode="External"/><Relationship Id="rId57" Type="http://schemas.openxmlformats.org/officeDocument/2006/relationships/hyperlink" Target="mailto:C.IGNACIOPALTA.L@GMAIL.COM" TargetMode="External"/><Relationship Id="rId10" Type="http://schemas.openxmlformats.org/officeDocument/2006/relationships/hyperlink" Target="mailto:BQUIROZST8@GMAIL.COM" TargetMode="External"/><Relationship Id="rId31" Type="http://schemas.openxmlformats.org/officeDocument/2006/relationships/hyperlink" Target="mailto:FRANCISCO.BYP@GMAIL.COM" TargetMode="External"/><Relationship Id="rId44" Type="http://schemas.openxmlformats.org/officeDocument/2006/relationships/hyperlink" Target="mailto:GANDREOTTI@GMAIL.COM" TargetMode="External"/><Relationship Id="rId52" Type="http://schemas.openxmlformats.org/officeDocument/2006/relationships/hyperlink" Target="mailto:FAFENAGTI@HOTMAIL.COM" TargetMode="External"/><Relationship Id="rId60" Type="http://schemas.openxmlformats.org/officeDocument/2006/relationships/table" Target="../tables/table1.xml"/><Relationship Id="rId4" Type="http://schemas.openxmlformats.org/officeDocument/2006/relationships/hyperlink" Target="mailto:CRISTOBALCABALLEROZAMORA@GMAIL.COM" TargetMode="External"/><Relationship Id="rId9" Type="http://schemas.openxmlformats.org/officeDocument/2006/relationships/hyperlink" Target="mailto:MVALENCIA82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ABLOHEREDI75@GMAIL.COM" TargetMode="External"/><Relationship Id="rId13" Type="http://schemas.openxmlformats.org/officeDocument/2006/relationships/hyperlink" Target="mailto:AXELYERKO12@GMAIL.COM" TargetMode="External"/><Relationship Id="rId18" Type="http://schemas.openxmlformats.org/officeDocument/2006/relationships/hyperlink" Target="mailto:FMU&#209;OZ@GMAIL.COM" TargetMode="External"/><Relationship Id="rId3" Type="http://schemas.openxmlformats.org/officeDocument/2006/relationships/hyperlink" Target="mailto:IGNAMOREDENZ@GMAIL.COM" TargetMode="External"/><Relationship Id="rId21" Type="http://schemas.openxmlformats.org/officeDocument/2006/relationships/hyperlink" Target="mailto:MARCOS.VILCHES32@GMAIL.COM" TargetMode="External"/><Relationship Id="rId7" Type="http://schemas.openxmlformats.org/officeDocument/2006/relationships/hyperlink" Target="mailto:BRSANMARTIN@GMAIL.COM" TargetMode="External"/><Relationship Id="rId12" Type="http://schemas.openxmlformats.org/officeDocument/2006/relationships/hyperlink" Target="mailto:PABLOHEREDI75@GMAIL.COM" TargetMode="External"/><Relationship Id="rId17" Type="http://schemas.openxmlformats.org/officeDocument/2006/relationships/hyperlink" Target="mailto:LUISGUTIERREZESPINDOLA@GMAIL.COM" TargetMode="External"/><Relationship Id="rId25" Type="http://schemas.openxmlformats.org/officeDocument/2006/relationships/table" Target="../tables/table4.xml"/><Relationship Id="rId2" Type="http://schemas.openxmlformats.org/officeDocument/2006/relationships/hyperlink" Target="mailto:ALEXANDERSALAZAR088@GMAIL.COM" TargetMode="External"/><Relationship Id="rId16" Type="http://schemas.openxmlformats.org/officeDocument/2006/relationships/hyperlink" Target="mailto:BLASVARGAS.MD@GMAIL.COM" TargetMode="External"/><Relationship Id="rId20" Type="http://schemas.openxmlformats.org/officeDocument/2006/relationships/hyperlink" Target="mailto:MATIASFUR@GMAIL.COM" TargetMode="External"/><Relationship Id="rId1" Type="http://schemas.openxmlformats.org/officeDocument/2006/relationships/hyperlink" Target="mailto:CLAUDIO.GOMEZ@SEGGEC.CL" TargetMode="External"/><Relationship Id="rId6" Type="http://schemas.openxmlformats.org/officeDocument/2006/relationships/hyperlink" Target="mailto:GVDRR342@GMAIL.COM" TargetMode="External"/><Relationship Id="rId11" Type="http://schemas.openxmlformats.org/officeDocument/2006/relationships/hyperlink" Target="mailto:TRANSPORTESLS@GMAIL.COM" TargetMode="External"/><Relationship Id="rId24" Type="http://schemas.openxmlformats.org/officeDocument/2006/relationships/table" Target="../tables/table3.xml"/><Relationship Id="rId5" Type="http://schemas.openxmlformats.org/officeDocument/2006/relationships/hyperlink" Target="mailto:NICOLASRIQUELME12@GMAIL.COM" TargetMode="External"/><Relationship Id="rId15" Type="http://schemas.openxmlformats.org/officeDocument/2006/relationships/hyperlink" Target="mailto:FFUENTES@BLINDAJESCHILE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RODRIGOBENAVUDES@GMAIL.COM" TargetMode="External"/><Relationship Id="rId19" Type="http://schemas.openxmlformats.org/officeDocument/2006/relationships/hyperlink" Target="mailto:AGUSTINMIHA@GMAIL.COM" TargetMode="External"/><Relationship Id="rId4" Type="http://schemas.openxmlformats.org/officeDocument/2006/relationships/hyperlink" Target="mailto:EDUARDOPLAZA21@GMAIL.COM" TargetMode="External"/><Relationship Id="rId9" Type="http://schemas.openxmlformats.org/officeDocument/2006/relationships/hyperlink" Target="mailto:VLADIMIRMENSESTP@GMAIL.COM" TargetMode="External"/><Relationship Id="rId14" Type="http://schemas.openxmlformats.org/officeDocument/2006/relationships/hyperlink" Target="mailto:GOZALEZ.IGMATIAS@GMAIL.COM" TargetMode="External"/><Relationship Id="rId22" Type="http://schemas.openxmlformats.org/officeDocument/2006/relationships/hyperlink" Target="mailto:IINIGOOVALLE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mailto:JPOSSA@FRUCITRUS.COM" TargetMode="External"/><Relationship Id="rId1" Type="http://schemas.openxmlformats.org/officeDocument/2006/relationships/hyperlink" Target="mailto:MIGUELLPALMAG@GMAIL.COM" TargetMode="Externa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2629-784F-48B6-8777-50103C755062}">
  <dimension ref="A1:AE80"/>
  <sheetViews>
    <sheetView tabSelected="1" topLeftCell="A55" zoomScale="90" zoomScaleNormal="90" workbookViewId="0">
      <selection activeCell="C80" sqref="C80"/>
    </sheetView>
  </sheetViews>
  <sheetFormatPr baseColWidth="10" defaultColWidth="10.33203125" defaultRowHeight="14.4" x14ac:dyDescent="0.3"/>
  <cols>
    <col min="1" max="1" width="11.21875" style="81" bestFit="1" customWidth="1"/>
    <col min="2" max="2" width="10.33203125" style="81"/>
    <col min="3" max="3" width="21.44140625" style="81" bestFit="1" customWidth="1"/>
    <col min="4" max="4" width="11.6640625" style="81" bestFit="1" customWidth="1"/>
    <col min="5" max="5" width="13.109375" style="81" bestFit="1" customWidth="1"/>
    <col min="6" max="6" width="10.33203125" style="81"/>
    <col min="7" max="7" width="12.33203125" style="81" bestFit="1" customWidth="1"/>
    <col min="8" max="8" width="16.33203125" style="81" bestFit="1" customWidth="1"/>
    <col min="9" max="18" width="10.33203125" style="81"/>
    <col min="19" max="20" width="13.33203125" style="81" bestFit="1" customWidth="1"/>
    <col min="21" max="23" width="10.33203125" style="81"/>
    <col min="24" max="24" width="10.33203125" style="1"/>
    <col min="25" max="25" width="23.6640625" style="81" bestFit="1" customWidth="1"/>
    <col min="26" max="26" width="10.33203125" style="82"/>
    <col min="27" max="30" width="10.33203125" style="81"/>
    <col min="31" max="31" width="11" style="81" bestFit="1" customWidth="1"/>
    <col min="32" max="16384" width="10.33203125" style="81"/>
  </cols>
  <sheetData>
    <row r="1" spans="1:31" ht="18" x14ac:dyDescent="0.35">
      <c r="A1" s="79"/>
      <c r="B1" s="80"/>
      <c r="C1" s="120" t="s">
        <v>1</v>
      </c>
      <c r="D1" s="120"/>
      <c r="E1" s="120"/>
      <c r="F1" s="120"/>
      <c r="G1" s="121" t="s">
        <v>6</v>
      </c>
      <c r="H1" s="122"/>
      <c r="I1" s="122"/>
      <c r="J1" s="122"/>
      <c r="K1" s="123"/>
      <c r="L1" s="123"/>
      <c r="M1" s="121" t="s">
        <v>13</v>
      </c>
      <c r="N1" s="122"/>
      <c r="O1" s="122"/>
      <c r="P1" s="122"/>
      <c r="Q1" s="124"/>
      <c r="R1" s="125" t="s">
        <v>24</v>
      </c>
      <c r="S1" s="126"/>
      <c r="T1" s="126"/>
      <c r="U1" s="126"/>
      <c r="X1" s="1" t="s">
        <v>22</v>
      </c>
      <c r="Y1" s="81" t="s">
        <v>25</v>
      </c>
      <c r="Z1" s="82" t="s">
        <v>19</v>
      </c>
    </row>
    <row r="2" spans="1:31" x14ac:dyDescent="0.3">
      <c r="A2" s="79" t="s">
        <v>0</v>
      </c>
      <c r="B2" s="16" t="s">
        <v>22</v>
      </c>
      <c r="C2" s="81" t="s">
        <v>3</v>
      </c>
      <c r="D2" s="81" t="s">
        <v>2</v>
      </c>
      <c r="E2" s="81" t="s">
        <v>4</v>
      </c>
      <c r="F2" s="81" t="s">
        <v>5</v>
      </c>
      <c r="G2" s="83" t="s">
        <v>7</v>
      </c>
      <c r="H2" s="81" t="s">
        <v>8</v>
      </c>
      <c r="I2" s="84" t="s">
        <v>10</v>
      </c>
      <c r="J2" s="1" t="s">
        <v>9</v>
      </c>
      <c r="K2" s="81" t="s">
        <v>11</v>
      </c>
      <c r="L2" s="81" t="s">
        <v>12</v>
      </c>
      <c r="M2" s="7" t="s">
        <v>14</v>
      </c>
      <c r="N2" s="8" t="s">
        <v>15</v>
      </c>
      <c r="O2" s="8" t="s">
        <v>16</v>
      </c>
      <c r="P2" s="8" t="s">
        <v>17</v>
      </c>
      <c r="Q2" s="85" t="s">
        <v>21</v>
      </c>
      <c r="R2" s="24" t="s">
        <v>23</v>
      </c>
      <c r="S2" s="86" t="s">
        <v>18</v>
      </c>
      <c r="T2" s="87" t="s">
        <v>20</v>
      </c>
      <c r="U2" s="88" t="s">
        <v>19</v>
      </c>
      <c r="V2" s="81" t="s">
        <v>37</v>
      </c>
      <c r="X2" s="1">
        <v>3389</v>
      </c>
      <c r="Y2" s="81" t="s">
        <v>127</v>
      </c>
      <c r="Z2" s="82">
        <v>1000</v>
      </c>
      <c r="AB2" s="119" t="s">
        <v>38</v>
      </c>
      <c r="AC2" s="119"/>
      <c r="AD2" s="114" t="s">
        <v>432</v>
      </c>
      <c r="AE2" s="112" t="s">
        <v>18</v>
      </c>
    </row>
    <row r="3" spans="1:31" x14ac:dyDescent="0.3">
      <c r="A3" s="89">
        <v>45662</v>
      </c>
      <c r="B3" s="16">
        <v>3382</v>
      </c>
      <c r="C3" s="81" t="s">
        <v>45</v>
      </c>
      <c r="D3" s="81" t="s">
        <v>46</v>
      </c>
      <c r="E3" s="81">
        <v>977830669</v>
      </c>
      <c r="F3" s="21" t="s">
        <v>57</v>
      </c>
      <c r="G3" s="83" t="s">
        <v>58</v>
      </c>
      <c r="H3" s="49" t="s">
        <v>59</v>
      </c>
      <c r="I3" s="84">
        <v>150000</v>
      </c>
      <c r="J3" s="1">
        <v>2012</v>
      </c>
      <c r="K3" s="81" t="s">
        <v>60</v>
      </c>
      <c r="L3" s="81" t="s">
        <v>61</v>
      </c>
      <c r="M3" s="7"/>
      <c r="N3" s="8" t="s">
        <v>55</v>
      </c>
      <c r="O3" s="8"/>
      <c r="P3" s="8"/>
      <c r="Q3" s="85" t="s">
        <v>62</v>
      </c>
      <c r="R3" s="24" t="s">
        <v>63</v>
      </c>
      <c r="S3" s="86">
        <v>549800</v>
      </c>
      <c r="T3" s="90">
        <f t="shared" ref="T3:T49" si="0">S3/1.19</f>
        <v>462016.80672268907</v>
      </c>
      <c r="U3" s="91">
        <f>Tabla1419[[#This Row],[NETO]]*2%</f>
        <v>9240.3361344537825</v>
      </c>
      <c r="Y3" s="81" t="s">
        <v>128</v>
      </c>
      <c r="Z3" s="82">
        <v>1000</v>
      </c>
      <c r="AB3" s="115" t="s">
        <v>40</v>
      </c>
      <c r="AC3" s="116">
        <f>U77</f>
        <v>725310.9243697481</v>
      </c>
      <c r="AD3" s="118">
        <v>390969</v>
      </c>
      <c r="AE3" s="117">
        <f>AC3-AD3</f>
        <v>334341.9243697481</v>
      </c>
    </row>
    <row r="4" spans="1:31" x14ac:dyDescent="0.3">
      <c r="A4" s="89">
        <v>45662</v>
      </c>
      <c r="B4" s="16">
        <v>3383</v>
      </c>
      <c r="C4" s="81" t="s">
        <v>47</v>
      </c>
      <c r="D4" s="81" t="s">
        <v>48</v>
      </c>
      <c r="E4" s="81">
        <v>967465571</v>
      </c>
      <c r="F4" s="21" t="s">
        <v>49</v>
      </c>
      <c r="G4" s="83" t="s">
        <v>50</v>
      </c>
      <c r="H4" s="49" t="s">
        <v>51</v>
      </c>
      <c r="I4" s="84">
        <v>1100</v>
      </c>
      <c r="J4" s="1">
        <v>2026</v>
      </c>
      <c r="K4" s="81" t="s">
        <v>52</v>
      </c>
      <c r="L4" s="81" t="s">
        <v>53</v>
      </c>
      <c r="M4" s="7" t="s">
        <v>55</v>
      </c>
      <c r="N4" s="8"/>
      <c r="O4" s="8"/>
      <c r="P4" s="8" t="s">
        <v>55</v>
      </c>
      <c r="Q4" s="109" t="s">
        <v>54</v>
      </c>
      <c r="R4" s="24" t="s">
        <v>63</v>
      </c>
      <c r="S4" s="86">
        <v>749900</v>
      </c>
      <c r="T4" s="90">
        <f t="shared" si="0"/>
        <v>630168.06722689082</v>
      </c>
      <c r="U4" s="91">
        <f>Tabla1419[[#This Row],[NETO]]*2%</f>
        <v>12603.361344537816</v>
      </c>
      <c r="Y4" s="81" t="s">
        <v>129</v>
      </c>
      <c r="Z4" s="82">
        <v>1000</v>
      </c>
      <c r="AE4" s="113">
        <f>AE3</f>
        <v>334341.9243697481</v>
      </c>
    </row>
    <row r="5" spans="1:31" x14ac:dyDescent="0.3">
      <c r="A5" s="89">
        <v>45662</v>
      </c>
      <c r="B5" s="16">
        <v>3384</v>
      </c>
      <c r="C5" s="81" t="s">
        <v>64</v>
      </c>
      <c r="D5" s="81" t="s">
        <v>65</v>
      </c>
      <c r="E5" s="81">
        <v>984994702</v>
      </c>
      <c r="F5" s="21" t="s">
        <v>66</v>
      </c>
      <c r="G5" s="83" t="s">
        <v>67</v>
      </c>
      <c r="H5" s="49" t="s">
        <v>68</v>
      </c>
      <c r="I5" s="84">
        <v>6700</v>
      </c>
      <c r="J5" s="1">
        <v>2024</v>
      </c>
      <c r="K5" s="81" t="s">
        <v>69</v>
      </c>
      <c r="L5" s="81" t="s">
        <v>70</v>
      </c>
      <c r="M5" s="7"/>
      <c r="N5" s="8" t="s">
        <v>55</v>
      </c>
      <c r="O5" s="8"/>
      <c r="P5" s="8"/>
      <c r="Q5" s="85" t="s">
        <v>62</v>
      </c>
      <c r="R5" s="24" t="s">
        <v>63</v>
      </c>
      <c r="S5" s="86">
        <v>299900</v>
      </c>
      <c r="T5" s="90">
        <f t="shared" si="0"/>
        <v>252016.8067226891</v>
      </c>
      <c r="U5" s="91">
        <f>Tabla1419[[#This Row],[NETO]]*2%</f>
        <v>5040.3361344537825</v>
      </c>
      <c r="Y5" s="81" t="s">
        <v>130</v>
      </c>
      <c r="Z5" s="82">
        <v>1000</v>
      </c>
    </row>
    <row r="6" spans="1:31" x14ac:dyDescent="0.3">
      <c r="A6" s="89">
        <v>45662</v>
      </c>
      <c r="B6" s="16">
        <v>3385</v>
      </c>
      <c r="C6" s="81" t="s">
        <v>133</v>
      </c>
      <c r="D6" s="81" t="s">
        <v>146</v>
      </c>
      <c r="F6" s="21" t="s">
        <v>147</v>
      </c>
      <c r="G6" s="83" t="s">
        <v>71</v>
      </c>
      <c r="H6" s="49" t="s">
        <v>72</v>
      </c>
      <c r="I6" s="84">
        <v>300000</v>
      </c>
      <c r="J6" s="1">
        <v>1990</v>
      </c>
      <c r="K6" s="81" t="s">
        <v>52</v>
      </c>
      <c r="M6" s="7"/>
      <c r="N6" s="8"/>
      <c r="O6" s="8"/>
      <c r="P6" s="8"/>
      <c r="Q6" s="85" t="s">
        <v>132</v>
      </c>
      <c r="R6" s="24" t="s">
        <v>63</v>
      </c>
      <c r="S6" s="86">
        <v>450000</v>
      </c>
      <c r="T6" s="90">
        <f t="shared" si="0"/>
        <v>378151.26050420169</v>
      </c>
      <c r="U6" s="91">
        <f>Tabla1419[[#This Row],[NETO]]*2%</f>
        <v>7563.0252100840344</v>
      </c>
      <c r="X6" s="1">
        <v>3422</v>
      </c>
      <c r="Y6" s="81" t="s">
        <v>130</v>
      </c>
      <c r="Z6" s="82">
        <v>1000</v>
      </c>
    </row>
    <row r="7" spans="1:31" x14ac:dyDescent="0.3">
      <c r="A7" s="89">
        <v>45663</v>
      </c>
      <c r="B7" s="16">
        <v>3386</v>
      </c>
      <c r="C7" s="81" t="s">
        <v>73</v>
      </c>
      <c r="D7" s="81" t="s">
        <v>74</v>
      </c>
      <c r="E7" s="81">
        <v>940967883</v>
      </c>
      <c r="F7" s="21" t="s">
        <v>75</v>
      </c>
      <c r="G7" s="83" t="s">
        <v>76</v>
      </c>
      <c r="H7" s="49" t="s">
        <v>77</v>
      </c>
      <c r="I7" s="84">
        <v>137000</v>
      </c>
      <c r="J7" s="1">
        <v>2018</v>
      </c>
      <c r="K7" s="81" t="s">
        <v>52</v>
      </c>
      <c r="L7" s="81" t="s">
        <v>78</v>
      </c>
      <c r="M7" s="7" t="s">
        <v>55</v>
      </c>
      <c r="N7" s="8"/>
      <c r="O7" s="8"/>
      <c r="P7" s="8"/>
      <c r="Q7" s="85" t="s">
        <v>79</v>
      </c>
      <c r="R7" s="24" t="s">
        <v>56</v>
      </c>
      <c r="S7" s="86">
        <v>649900</v>
      </c>
      <c r="T7" s="90">
        <f t="shared" si="0"/>
        <v>546134.45378151268</v>
      </c>
      <c r="U7" s="91">
        <f>Tabla1419[[#This Row],[NETO]]*2%</f>
        <v>10922.689075630255</v>
      </c>
      <c r="Y7" s="81" t="s">
        <v>127</v>
      </c>
      <c r="Z7" s="82">
        <v>1000</v>
      </c>
    </row>
    <row r="8" spans="1:31" x14ac:dyDescent="0.3">
      <c r="A8" s="89">
        <v>45663</v>
      </c>
      <c r="B8" s="16">
        <v>3387</v>
      </c>
      <c r="C8" t="s">
        <v>80</v>
      </c>
      <c r="D8" t="s">
        <v>81</v>
      </c>
      <c r="E8">
        <v>956422768</v>
      </c>
      <c r="F8" s="21" t="s">
        <v>82</v>
      </c>
      <c r="G8" s="12" t="s">
        <v>83</v>
      </c>
      <c r="H8" t="s">
        <v>84</v>
      </c>
      <c r="I8" s="19">
        <v>30000</v>
      </c>
      <c r="J8" s="1">
        <v>2021</v>
      </c>
      <c r="K8" t="s">
        <v>52</v>
      </c>
      <c r="L8" t="s">
        <v>85</v>
      </c>
      <c r="M8" s="7"/>
      <c r="N8" s="8"/>
      <c r="O8" s="8"/>
      <c r="P8" s="8" t="s">
        <v>86</v>
      </c>
      <c r="Q8" s="85" t="s">
        <v>87</v>
      </c>
      <c r="R8" s="24" t="s">
        <v>63</v>
      </c>
      <c r="S8" s="86">
        <v>149900</v>
      </c>
      <c r="T8" s="90">
        <f t="shared" si="0"/>
        <v>125966.38655462186</v>
      </c>
      <c r="U8" s="91">
        <f>Tabla1419[[#This Row],[NETO]]*2%</f>
        <v>2519.3277310924373</v>
      </c>
      <c r="Y8" s="81" t="s">
        <v>307</v>
      </c>
      <c r="Z8" s="82">
        <v>1000</v>
      </c>
    </row>
    <row r="9" spans="1:31" x14ac:dyDescent="0.3">
      <c r="A9" s="89">
        <v>45663</v>
      </c>
      <c r="B9" s="16">
        <v>3388</v>
      </c>
      <c r="C9" s="81" t="s">
        <v>88</v>
      </c>
      <c r="D9" s="81" t="s">
        <v>89</v>
      </c>
      <c r="E9" s="81">
        <v>957028836</v>
      </c>
      <c r="F9" s="21" t="s">
        <v>90</v>
      </c>
      <c r="G9" s="83" t="s">
        <v>83</v>
      </c>
      <c r="H9" s="49" t="s">
        <v>91</v>
      </c>
      <c r="I9" s="84">
        <v>150000</v>
      </c>
      <c r="J9" s="1">
        <v>2015</v>
      </c>
      <c r="K9" s="81" t="s">
        <v>92</v>
      </c>
      <c r="L9" s="81" t="s">
        <v>93</v>
      </c>
      <c r="M9" s="7"/>
      <c r="N9" s="8"/>
      <c r="O9" s="8"/>
      <c r="P9" s="8" t="s">
        <v>55</v>
      </c>
      <c r="Q9" s="85" t="s">
        <v>94</v>
      </c>
      <c r="R9" s="24" t="s">
        <v>63</v>
      </c>
      <c r="S9" s="86">
        <v>209600</v>
      </c>
      <c r="T9" s="90">
        <f t="shared" si="0"/>
        <v>176134.45378151262</v>
      </c>
      <c r="U9" s="91">
        <f>Tabla1419[[#This Row],[NETO]]*2%</f>
        <v>3522.6890756302528</v>
      </c>
      <c r="X9" s="1">
        <v>3425</v>
      </c>
      <c r="Y9" s="81" t="s">
        <v>307</v>
      </c>
      <c r="Z9" s="82">
        <v>1000</v>
      </c>
    </row>
    <row r="10" spans="1:31" x14ac:dyDescent="0.3">
      <c r="A10" s="89">
        <v>45664</v>
      </c>
      <c r="B10" s="16">
        <v>3389</v>
      </c>
      <c r="C10" s="81" t="s">
        <v>95</v>
      </c>
      <c r="D10" s="81" t="s">
        <v>96</v>
      </c>
      <c r="E10" s="81">
        <v>973390266</v>
      </c>
      <c r="F10" s="21" t="s">
        <v>97</v>
      </c>
      <c r="G10" s="83" t="s">
        <v>76</v>
      </c>
      <c r="H10" s="49" t="s">
        <v>98</v>
      </c>
      <c r="I10" s="84">
        <v>80000</v>
      </c>
      <c r="J10" s="1">
        <v>2015</v>
      </c>
      <c r="K10" s="81" t="s">
        <v>99</v>
      </c>
      <c r="L10" s="81" t="s">
        <v>100</v>
      </c>
      <c r="M10" s="7" t="s">
        <v>55</v>
      </c>
      <c r="N10" s="8"/>
      <c r="O10" s="8"/>
      <c r="P10" s="8"/>
      <c r="Q10" s="85" t="s">
        <v>101</v>
      </c>
      <c r="R10" s="24" t="s">
        <v>56</v>
      </c>
      <c r="S10" s="86">
        <v>538600</v>
      </c>
      <c r="T10" s="90">
        <f t="shared" si="0"/>
        <v>452605.04201680672</v>
      </c>
      <c r="U10" s="91">
        <f>Tabla1419[[#This Row],[NETO]]*2%</f>
        <v>9052.1008403361338</v>
      </c>
      <c r="Z10" s="82">
        <f>SUM(Z2:Z9)</f>
        <v>8000</v>
      </c>
    </row>
    <row r="11" spans="1:31" x14ac:dyDescent="0.3">
      <c r="A11" s="89">
        <v>45664</v>
      </c>
      <c r="B11" s="16">
        <v>3390</v>
      </c>
      <c r="C11" s="81" t="s">
        <v>103</v>
      </c>
      <c r="D11" s="81" t="s">
        <v>104</v>
      </c>
      <c r="E11" s="81">
        <v>982623350</v>
      </c>
      <c r="F11" s="21" t="s">
        <v>105</v>
      </c>
      <c r="G11" s="83" t="s">
        <v>102</v>
      </c>
      <c r="H11" s="49" t="s">
        <v>106</v>
      </c>
      <c r="I11" s="84">
        <v>146000</v>
      </c>
      <c r="J11" s="1">
        <v>2007</v>
      </c>
      <c r="K11" s="81" t="s">
        <v>92</v>
      </c>
      <c r="L11" s="81" t="s">
        <v>107</v>
      </c>
      <c r="M11" s="7" t="s">
        <v>55</v>
      </c>
      <c r="N11" s="8"/>
      <c r="O11" s="8"/>
      <c r="P11" s="8"/>
      <c r="Q11" s="85" t="s">
        <v>108</v>
      </c>
      <c r="R11" s="24" t="s">
        <v>63</v>
      </c>
      <c r="S11" s="86">
        <v>150000</v>
      </c>
      <c r="T11" s="90">
        <f t="shared" si="0"/>
        <v>126050.42016806723</v>
      </c>
      <c r="U11" s="91">
        <f>Tabla1419[[#This Row],[NETO]]*2%</f>
        <v>2521.0084033613448</v>
      </c>
    </row>
    <row r="12" spans="1:31" x14ac:dyDescent="0.3">
      <c r="A12" s="89">
        <v>45664</v>
      </c>
      <c r="B12" s="16">
        <v>3391</v>
      </c>
      <c r="C12" s="81" t="s">
        <v>109</v>
      </c>
      <c r="D12" s="81" t="s">
        <v>110</v>
      </c>
      <c r="E12" s="81">
        <v>982838400</v>
      </c>
      <c r="F12" s="21" t="s">
        <v>111</v>
      </c>
      <c r="G12" s="83" t="s">
        <v>112</v>
      </c>
      <c r="H12" s="49" t="s">
        <v>113</v>
      </c>
      <c r="I12" s="84">
        <v>1000</v>
      </c>
      <c r="J12" s="1">
        <v>2026</v>
      </c>
      <c r="K12" s="81" t="s">
        <v>114</v>
      </c>
      <c r="L12" s="81" t="s">
        <v>115</v>
      </c>
      <c r="M12" s="7"/>
      <c r="N12" s="8"/>
      <c r="O12" s="8"/>
      <c r="P12" s="8" t="s">
        <v>55</v>
      </c>
      <c r="Q12" s="85" t="s">
        <v>116</v>
      </c>
      <c r="R12" s="24" t="s">
        <v>63</v>
      </c>
      <c r="S12" s="86">
        <v>150000</v>
      </c>
      <c r="T12" s="90">
        <f t="shared" si="0"/>
        <v>126050.42016806723</v>
      </c>
      <c r="U12" s="91">
        <f>Tabla1419[[#This Row],[NETO]]*2%</f>
        <v>2521.0084033613448</v>
      </c>
    </row>
    <row r="13" spans="1:31" x14ac:dyDescent="0.3">
      <c r="A13" s="89">
        <v>45664</v>
      </c>
      <c r="B13" s="16">
        <v>3392</v>
      </c>
      <c r="C13" s="81" t="s">
        <v>117</v>
      </c>
      <c r="D13" s="81" t="s">
        <v>131</v>
      </c>
      <c r="E13" s="81">
        <v>991097691</v>
      </c>
      <c r="F13" s="21" t="s">
        <v>118</v>
      </c>
      <c r="G13" s="83" t="s">
        <v>76</v>
      </c>
      <c r="H13" s="49" t="s">
        <v>119</v>
      </c>
      <c r="I13" s="84">
        <v>10000</v>
      </c>
      <c r="J13" s="1">
        <v>2025</v>
      </c>
      <c r="K13" s="81" t="s">
        <v>114</v>
      </c>
      <c r="M13" s="7"/>
      <c r="N13" s="8"/>
      <c r="O13" s="8"/>
      <c r="P13" s="8"/>
      <c r="Q13" s="85" t="s">
        <v>120</v>
      </c>
      <c r="R13" s="24" t="s">
        <v>63</v>
      </c>
      <c r="S13" s="86">
        <v>449900</v>
      </c>
      <c r="T13" s="90">
        <f t="shared" si="0"/>
        <v>378067.22689075634</v>
      </c>
      <c r="U13" s="91">
        <f>Tabla1419[[#This Row],[NETO]]*2%</f>
        <v>7561.3445378151273</v>
      </c>
    </row>
    <row r="14" spans="1:31" x14ac:dyDescent="0.3">
      <c r="A14" s="89">
        <v>45664</v>
      </c>
      <c r="B14" s="16">
        <v>3393</v>
      </c>
      <c r="C14" s="81" t="s">
        <v>122</v>
      </c>
      <c r="D14" s="81" t="s">
        <v>123</v>
      </c>
      <c r="E14" s="81">
        <v>995917922</v>
      </c>
      <c r="F14" s="21" t="s">
        <v>124</v>
      </c>
      <c r="G14" s="83" t="s">
        <v>58</v>
      </c>
      <c r="H14" s="49" t="s">
        <v>121</v>
      </c>
      <c r="I14" s="84">
        <v>114032</v>
      </c>
      <c r="J14" s="1">
        <v>2015</v>
      </c>
      <c r="K14" s="81" t="s">
        <v>52</v>
      </c>
      <c r="L14" s="81" t="s">
        <v>125</v>
      </c>
      <c r="M14" s="7"/>
      <c r="N14" s="8"/>
      <c r="O14" s="8"/>
      <c r="P14" s="8" t="s">
        <v>55</v>
      </c>
      <c r="Q14" s="85" t="s">
        <v>126</v>
      </c>
      <c r="R14" s="24" t="s">
        <v>56</v>
      </c>
      <c r="S14" s="86">
        <v>128800</v>
      </c>
      <c r="T14" s="90">
        <f t="shared" si="0"/>
        <v>108235.29411764706</v>
      </c>
      <c r="U14" s="91">
        <f>Tabla1419[[#This Row],[NETO]]*2%</f>
        <v>2164.7058823529414</v>
      </c>
    </row>
    <row r="15" spans="1:31" x14ac:dyDescent="0.3">
      <c r="A15" s="89">
        <v>45665</v>
      </c>
      <c r="B15" s="16">
        <v>3394</v>
      </c>
      <c r="C15" s="81" t="s">
        <v>134</v>
      </c>
      <c r="D15" s="81" t="s">
        <v>135</v>
      </c>
      <c r="E15" s="81">
        <v>998174044</v>
      </c>
      <c r="F15" s="21" t="s">
        <v>136</v>
      </c>
      <c r="G15" s="83" t="s">
        <v>76</v>
      </c>
      <c r="H15" s="49" t="s">
        <v>137</v>
      </c>
      <c r="I15" s="84">
        <v>2000</v>
      </c>
      <c r="J15" s="1">
        <v>2026</v>
      </c>
      <c r="K15" s="81" t="s">
        <v>69</v>
      </c>
      <c r="L15" s="81" t="s">
        <v>138</v>
      </c>
      <c r="M15" s="7"/>
      <c r="N15" s="8"/>
      <c r="O15" s="8"/>
      <c r="P15" s="8"/>
      <c r="Q15" s="85" t="s">
        <v>155</v>
      </c>
      <c r="R15" s="24" t="s">
        <v>56</v>
      </c>
      <c r="S15" s="30">
        <v>2584700</v>
      </c>
      <c r="T15" s="90">
        <f t="shared" si="0"/>
        <v>2172016.806722689</v>
      </c>
      <c r="U15" s="91">
        <f>Tabla1419[[#This Row],[NETO]]*2%</f>
        <v>43440.336134453777</v>
      </c>
    </row>
    <row r="16" spans="1:31" x14ac:dyDescent="0.3">
      <c r="A16" s="89">
        <v>45665</v>
      </c>
      <c r="B16" s="16">
        <v>3395</v>
      </c>
      <c r="C16" s="81" t="s">
        <v>109</v>
      </c>
      <c r="D16" s="81" t="s">
        <v>110</v>
      </c>
      <c r="E16" s="81">
        <v>982838400</v>
      </c>
      <c r="F16" s="21" t="s">
        <v>111</v>
      </c>
      <c r="G16" s="83" t="s">
        <v>112</v>
      </c>
      <c r="H16" s="49" t="s">
        <v>113</v>
      </c>
      <c r="I16" s="84">
        <v>2500</v>
      </c>
      <c r="J16" s="1">
        <v>2026</v>
      </c>
      <c r="K16" s="81" t="s">
        <v>114</v>
      </c>
      <c r="L16" s="81" t="s">
        <v>115</v>
      </c>
      <c r="M16" s="7" t="s">
        <v>55</v>
      </c>
      <c r="N16" s="8"/>
      <c r="O16" s="8"/>
      <c r="P16" s="8"/>
      <c r="Q16" s="85" t="s">
        <v>142</v>
      </c>
      <c r="R16" s="24" t="s">
        <v>63</v>
      </c>
      <c r="S16" s="30">
        <v>185000</v>
      </c>
      <c r="T16" s="90">
        <f t="shared" si="0"/>
        <v>155462.18487394959</v>
      </c>
      <c r="U16" s="91">
        <f>Tabla1419[[#This Row],[NETO]]*2%</f>
        <v>3109.2436974789921</v>
      </c>
    </row>
    <row r="17" spans="1:21" x14ac:dyDescent="0.3">
      <c r="A17" s="89">
        <v>45665</v>
      </c>
      <c r="B17" s="16">
        <v>3396</v>
      </c>
      <c r="C17" s="81" t="s">
        <v>139</v>
      </c>
      <c r="D17" s="81" t="s">
        <v>148</v>
      </c>
      <c r="E17" s="81">
        <v>982515841</v>
      </c>
      <c r="F17" s="21" t="s">
        <v>149</v>
      </c>
      <c r="G17" s="83" t="s">
        <v>83</v>
      </c>
      <c r="H17" s="49" t="s">
        <v>143</v>
      </c>
      <c r="I17" s="110">
        <v>74000</v>
      </c>
      <c r="J17" s="1">
        <v>2018</v>
      </c>
      <c r="K17" s="81" t="s">
        <v>60</v>
      </c>
      <c r="L17" s="81" t="s">
        <v>144</v>
      </c>
      <c r="M17" s="7" t="s">
        <v>55</v>
      </c>
      <c r="N17" s="8"/>
      <c r="O17" s="8"/>
      <c r="P17" s="8"/>
      <c r="Q17" s="79" t="s">
        <v>145</v>
      </c>
      <c r="R17" s="24" t="s">
        <v>63</v>
      </c>
      <c r="S17" s="30">
        <v>450000</v>
      </c>
      <c r="T17" s="90">
        <f t="shared" si="0"/>
        <v>378151.26050420169</v>
      </c>
      <c r="U17" s="91">
        <f>Tabla1419[[#This Row],[NETO]]*2%</f>
        <v>7563.0252100840344</v>
      </c>
    </row>
    <row r="18" spans="1:21" x14ac:dyDescent="0.3">
      <c r="A18" s="89">
        <v>45666</v>
      </c>
      <c r="B18" s="16">
        <v>3397</v>
      </c>
      <c r="C18" s="81" t="s">
        <v>150</v>
      </c>
      <c r="D18" s="81" t="s">
        <v>151</v>
      </c>
      <c r="E18" s="81">
        <v>983877803</v>
      </c>
      <c r="F18" s="21" t="s">
        <v>152</v>
      </c>
      <c r="G18" s="83" t="s">
        <v>76</v>
      </c>
      <c r="H18" s="49" t="s">
        <v>77</v>
      </c>
      <c r="I18" s="84">
        <v>80000</v>
      </c>
      <c r="J18" s="1">
        <v>2019</v>
      </c>
      <c r="K18" s="81" t="s">
        <v>52</v>
      </c>
      <c r="L18" s="81" t="s">
        <v>153</v>
      </c>
      <c r="M18" s="7"/>
      <c r="N18" s="8"/>
      <c r="O18" s="8"/>
      <c r="P18" s="8" t="s">
        <v>55</v>
      </c>
      <c r="Q18" s="85" t="s">
        <v>154</v>
      </c>
      <c r="R18" s="24" t="s">
        <v>63</v>
      </c>
      <c r="S18" s="30">
        <v>430000</v>
      </c>
      <c r="T18" s="90">
        <f t="shared" si="0"/>
        <v>361344.53781512607</v>
      </c>
      <c r="U18" s="91">
        <f>Tabla1419[[#This Row],[NETO]]*2%</f>
        <v>7226.8907563025214</v>
      </c>
    </row>
    <row r="19" spans="1:21" x14ac:dyDescent="0.3">
      <c r="A19" s="89">
        <v>45666</v>
      </c>
      <c r="B19" s="16">
        <v>3398</v>
      </c>
      <c r="C19" s="81" t="s">
        <v>88</v>
      </c>
      <c r="D19" s="81" t="s">
        <v>89</v>
      </c>
      <c r="E19" s="81">
        <v>957028836</v>
      </c>
      <c r="F19" s="21" t="s">
        <v>90</v>
      </c>
      <c r="G19" s="83" t="s">
        <v>83</v>
      </c>
      <c r="H19" s="49" t="s">
        <v>91</v>
      </c>
      <c r="I19" s="84">
        <v>150000</v>
      </c>
      <c r="J19" s="1">
        <v>2015</v>
      </c>
      <c r="K19" s="81" t="s">
        <v>92</v>
      </c>
      <c r="L19" s="81" t="s">
        <v>93</v>
      </c>
      <c r="M19" s="7"/>
      <c r="N19" s="8"/>
      <c r="O19" s="8"/>
      <c r="P19" s="8" t="s">
        <v>86</v>
      </c>
      <c r="Q19" s="85" t="s">
        <v>156</v>
      </c>
      <c r="R19" s="24" t="s">
        <v>63</v>
      </c>
      <c r="S19" s="30">
        <v>279900</v>
      </c>
      <c r="T19" s="90">
        <f t="shared" si="0"/>
        <v>235210.08403361344</v>
      </c>
      <c r="U19" s="91">
        <f>Tabla1419[[#This Row],[NETO]]*2%</f>
        <v>4704.2016806722686</v>
      </c>
    </row>
    <row r="20" spans="1:21" x14ac:dyDescent="0.3">
      <c r="A20" s="89">
        <v>45669</v>
      </c>
      <c r="B20" s="16">
        <v>3399</v>
      </c>
      <c r="C20" s="81" t="s">
        <v>157</v>
      </c>
      <c r="D20" s="81" t="s">
        <v>158</v>
      </c>
      <c r="E20" s="81">
        <v>997576549</v>
      </c>
      <c r="F20" s="21" t="s">
        <v>159</v>
      </c>
      <c r="G20" s="83" t="s">
        <v>160</v>
      </c>
      <c r="H20" s="49" t="s">
        <v>161</v>
      </c>
      <c r="I20" s="84">
        <v>39700</v>
      </c>
      <c r="J20" s="1">
        <v>2023</v>
      </c>
      <c r="K20" s="81" t="s">
        <v>69</v>
      </c>
      <c r="L20" s="81" t="s">
        <v>162</v>
      </c>
      <c r="M20" s="7" t="s">
        <v>55</v>
      </c>
      <c r="N20" s="8"/>
      <c r="O20" s="8"/>
      <c r="P20" s="8"/>
      <c r="Q20" s="85" t="s">
        <v>163</v>
      </c>
      <c r="R20" s="24" t="s">
        <v>63</v>
      </c>
      <c r="S20" s="30">
        <v>1100000</v>
      </c>
      <c r="T20" s="90">
        <f t="shared" si="0"/>
        <v>924369.74789915967</v>
      </c>
      <c r="U20" s="91">
        <f>Tabla1419[[#This Row],[NETO]]*2%</f>
        <v>18487.394957983193</v>
      </c>
    </row>
    <row r="21" spans="1:21" x14ac:dyDescent="0.3">
      <c r="A21" s="89">
        <v>46034</v>
      </c>
      <c r="B21" s="16">
        <v>3400</v>
      </c>
      <c r="C21" s="81" t="s">
        <v>167</v>
      </c>
      <c r="D21" t="s">
        <v>190</v>
      </c>
      <c r="E21">
        <v>988298131</v>
      </c>
      <c r="F21" s="21"/>
      <c r="G21" s="83" t="s">
        <v>164</v>
      </c>
      <c r="H21" s="49" t="s">
        <v>165</v>
      </c>
      <c r="I21" s="84">
        <v>95000</v>
      </c>
      <c r="J21" s="1">
        <v>2014</v>
      </c>
      <c r="K21" s="81" t="s">
        <v>52</v>
      </c>
      <c r="L21" s="81" t="s">
        <v>166</v>
      </c>
      <c r="M21" s="7" t="s">
        <v>55</v>
      </c>
      <c r="N21" s="8"/>
      <c r="O21" s="8"/>
      <c r="P21" s="8"/>
      <c r="Q21" s="85" t="s">
        <v>168</v>
      </c>
      <c r="R21" s="24" t="s">
        <v>63</v>
      </c>
      <c r="S21" s="30">
        <v>385000</v>
      </c>
      <c r="T21" s="90">
        <f t="shared" si="0"/>
        <v>323529.4117647059</v>
      </c>
      <c r="U21" s="91">
        <f>Tabla1419[[#This Row],[NETO]]*2%</f>
        <v>6470.588235294118</v>
      </c>
    </row>
    <row r="22" spans="1:21" x14ac:dyDescent="0.3">
      <c r="A22" s="89">
        <v>46034</v>
      </c>
      <c r="B22" s="16">
        <v>3401</v>
      </c>
      <c r="C22" t="s">
        <v>189</v>
      </c>
      <c r="D22" t="s">
        <v>191</v>
      </c>
      <c r="E22">
        <v>993192710</v>
      </c>
      <c r="F22" s="21" t="s">
        <v>192</v>
      </c>
      <c r="G22" s="12" t="s">
        <v>193</v>
      </c>
      <c r="H22" t="s">
        <v>194</v>
      </c>
      <c r="I22" s="36">
        <v>237631</v>
      </c>
      <c r="J22" s="1">
        <v>1997</v>
      </c>
      <c r="K22" t="s">
        <v>195</v>
      </c>
      <c r="L22" t="s">
        <v>196</v>
      </c>
      <c r="M22" s="7"/>
      <c r="N22" s="8"/>
      <c r="O22" s="8"/>
      <c r="P22" s="8" t="s">
        <v>55</v>
      </c>
      <c r="Q22" s="85" t="s">
        <v>175</v>
      </c>
      <c r="R22" s="24" t="s">
        <v>63</v>
      </c>
      <c r="S22" s="30">
        <v>128900</v>
      </c>
      <c r="T22" s="90">
        <f t="shared" si="0"/>
        <v>108319.32773109245</v>
      </c>
      <c r="U22" s="91">
        <f>Tabla1419[[#This Row],[NETO]]*2%</f>
        <v>2166.386554621849</v>
      </c>
    </row>
    <row r="23" spans="1:21" x14ac:dyDescent="0.3">
      <c r="A23" s="89">
        <v>46034</v>
      </c>
      <c r="B23" s="16">
        <v>3402</v>
      </c>
      <c r="C23" s="81" t="s">
        <v>170</v>
      </c>
      <c r="D23" s="81" t="s">
        <v>169</v>
      </c>
      <c r="E23" s="81">
        <v>978393986</v>
      </c>
      <c r="F23" s="21" t="s">
        <v>171</v>
      </c>
      <c r="G23" s="83" t="s">
        <v>172</v>
      </c>
      <c r="H23" s="49" t="s">
        <v>173</v>
      </c>
      <c r="I23" s="84">
        <v>200000</v>
      </c>
      <c r="J23" s="1">
        <v>1998</v>
      </c>
      <c r="K23" s="81" t="s">
        <v>52</v>
      </c>
      <c r="M23" s="7" t="s">
        <v>55</v>
      </c>
      <c r="N23" s="8"/>
      <c r="O23" s="8"/>
      <c r="P23" s="8"/>
      <c r="Q23" s="85" t="s">
        <v>174</v>
      </c>
      <c r="R23" s="24" t="s">
        <v>63</v>
      </c>
      <c r="S23" s="30">
        <v>160000</v>
      </c>
      <c r="T23" s="90">
        <f t="shared" si="0"/>
        <v>134453.78151260506</v>
      </c>
      <c r="U23" s="91">
        <f>Tabla1419[[#This Row],[NETO]]*2%</f>
        <v>2689.0756302521013</v>
      </c>
    </row>
    <row r="24" spans="1:21" x14ac:dyDescent="0.3">
      <c r="A24" s="89">
        <v>46034</v>
      </c>
      <c r="B24" s="16">
        <v>3403</v>
      </c>
      <c r="C24" s="81" t="s">
        <v>176</v>
      </c>
      <c r="D24" s="81" t="s">
        <v>177</v>
      </c>
      <c r="E24" s="81">
        <v>978872240</v>
      </c>
      <c r="F24" s="21" t="s">
        <v>178</v>
      </c>
      <c r="G24" s="83" t="s">
        <v>76</v>
      </c>
      <c r="H24" s="49" t="s">
        <v>179</v>
      </c>
      <c r="I24" s="84">
        <v>31000</v>
      </c>
      <c r="J24" s="1">
        <v>2024</v>
      </c>
      <c r="K24" s="81" t="s">
        <v>114</v>
      </c>
      <c r="L24" s="81" t="s">
        <v>180</v>
      </c>
      <c r="M24" s="7" t="s">
        <v>55</v>
      </c>
      <c r="N24" s="8"/>
      <c r="O24" s="8"/>
      <c r="P24" s="8"/>
      <c r="Q24" s="85" t="s">
        <v>62</v>
      </c>
      <c r="R24" s="24" t="s">
        <v>56</v>
      </c>
      <c r="S24" s="30">
        <v>349900</v>
      </c>
      <c r="T24" s="90">
        <f t="shared" si="0"/>
        <v>294033.61344537814</v>
      </c>
      <c r="U24" s="91">
        <f>Tabla1419[[#This Row],[NETO]]*2%</f>
        <v>5880.6722689075632</v>
      </c>
    </row>
    <row r="25" spans="1:21" x14ac:dyDescent="0.3">
      <c r="A25" s="89">
        <v>46035</v>
      </c>
      <c r="B25" s="16">
        <v>3404</v>
      </c>
      <c r="C25" s="81" t="s">
        <v>181</v>
      </c>
      <c r="D25" s="81" t="s">
        <v>199</v>
      </c>
      <c r="E25" s="81">
        <v>940894533</v>
      </c>
      <c r="F25" s="21" t="s">
        <v>200</v>
      </c>
      <c r="G25" s="83" t="s">
        <v>50</v>
      </c>
      <c r="H25" s="49" t="s">
        <v>182</v>
      </c>
      <c r="I25" s="84">
        <v>49000</v>
      </c>
      <c r="J25" s="1">
        <v>2018</v>
      </c>
      <c r="K25" s="81" t="s">
        <v>92</v>
      </c>
      <c r="L25" s="81" t="s">
        <v>188</v>
      </c>
      <c r="M25" s="7" t="s">
        <v>55</v>
      </c>
      <c r="N25" s="8"/>
      <c r="O25" s="8"/>
      <c r="P25" s="8"/>
      <c r="Q25" s="85" t="s">
        <v>201</v>
      </c>
      <c r="R25" s="24" t="s">
        <v>63</v>
      </c>
      <c r="S25" s="30">
        <v>1499900</v>
      </c>
      <c r="T25" s="90">
        <f t="shared" si="0"/>
        <v>1260420.1680672269</v>
      </c>
      <c r="U25" s="91">
        <f>Tabla1419[[#This Row],[NETO]]*2%</f>
        <v>25208.403361344539</v>
      </c>
    </row>
    <row r="26" spans="1:21" x14ac:dyDescent="0.3">
      <c r="A26" s="89">
        <v>46035</v>
      </c>
      <c r="B26" s="16">
        <v>3405</v>
      </c>
      <c r="C26" s="81" t="s">
        <v>183</v>
      </c>
      <c r="F26" s="21"/>
      <c r="G26" s="83" t="s">
        <v>83</v>
      </c>
      <c r="H26" s="49" t="s">
        <v>184</v>
      </c>
      <c r="I26" s="84">
        <v>10000</v>
      </c>
      <c r="J26" s="1">
        <v>2025</v>
      </c>
      <c r="K26" s="81" t="s">
        <v>92</v>
      </c>
      <c r="L26" s="81" t="s">
        <v>185</v>
      </c>
      <c r="M26" s="7" t="s">
        <v>55</v>
      </c>
      <c r="N26" s="8"/>
      <c r="O26" s="8"/>
      <c r="P26" s="8"/>
      <c r="Q26" s="85" t="s">
        <v>215</v>
      </c>
      <c r="R26" s="24" t="s">
        <v>63</v>
      </c>
      <c r="S26" s="30">
        <v>599900</v>
      </c>
      <c r="T26" s="90">
        <f t="shared" si="0"/>
        <v>504117.64705882355</v>
      </c>
      <c r="U26" s="91">
        <f>Tabla1419[[#This Row],[NETO]]*2%</f>
        <v>10082.352941176472</v>
      </c>
    </row>
    <row r="27" spans="1:21" x14ac:dyDescent="0.3">
      <c r="A27" s="89">
        <v>46035</v>
      </c>
      <c r="B27" s="16">
        <v>3406</v>
      </c>
      <c r="C27" s="81" t="s">
        <v>183</v>
      </c>
      <c r="F27" s="21"/>
      <c r="G27" s="83" t="s">
        <v>83</v>
      </c>
      <c r="H27" s="49" t="s">
        <v>186</v>
      </c>
      <c r="I27" s="84">
        <v>10000</v>
      </c>
      <c r="J27" s="1">
        <v>2023</v>
      </c>
      <c r="K27" s="81" t="s">
        <v>69</v>
      </c>
      <c r="L27" s="49" t="s">
        <v>187</v>
      </c>
      <c r="M27" s="7" t="s">
        <v>55</v>
      </c>
      <c r="N27" s="8"/>
      <c r="O27" s="8"/>
      <c r="P27" s="8"/>
      <c r="Q27" s="85" t="s">
        <v>245</v>
      </c>
      <c r="R27" s="24" t="s">
        <v>63</v>
      </c>
      <c r="S27" s="30">
        <v>919900</v>
      </c>
      <c r="T27" s="90">
        <f t="shared" si="0"/>
        <v>773025.21008403366</v>
      </c>
      <c r="U27" s="91">
        <f>Tabla1419[[#This Row],[NETO]]*2%</f>
        <v>15460.504201680673</v>
      </c>
    </row>
    <row r="28" spans="1:21" x14ac:dyDescent="0.3">
      <c r="A28" s="89">
        <v>46035</v>
      </c>
      <c r="B28" s="16">
        <v>3407</v>
      </c>
      <c r="C28" s="81" t="s">
        <v>134</v>
      </c>
      <c r="D28" s="81" t="s">
        <v>135</v>
      </c>
      <c r="E28" s="81">
        <v>998174044</v>
      </c>
      <c r="F28" s="21" t="s">
        <v>136</v>
      </c>
      <c r="G28" s="83" t="s">
        <v>197</v>
      </c>
      <c r="H28" s="49">
        <v>2500</v>
      </c>
      <c r="I28" s="84">
        <v>40000</v>
      </c>
      <c r="J28" s="1">
        <v>2026</v>
      </c>
      <c r="K28" s="81" t="s">
        <v>60</v>
      </c>
      <c r="L28" s="81" t="s">
        <v>198</v>
      </c>
      <c r="M28" s="7"/>
      <c r="N28" s="8"/>
      <c r="O28" s="8"/>
      <c r="P28" s="8"/>
      <c r="Q28" s="111" t="s">
        <v>216</v>
      </c>
      <c r="R28" s="24" t="s">
        <v>63</v>
      </c>
      <c r="S28" s="30">
        <v>1100000</v>
      </c>
      <c r="T28" s="90">
        <f t="shared" si="0"/>
        <v>924369.74789915967</v>
      </c>
      <c r="U28" s="91">
        <f>Tabla1419[[#This Row],[NETO]]*2%</f>
        <v>18487.394957983193</v>
      </c>
    </row>
    <row r="29" spans="1:21" x14ac:dyDescent="0.3">
      <c r="A29" s="89">
        <v>46035</v>
      </c>
      <c r="B29" s="16">
        <v>3408</v>
      </c>
      <c r="C29" s="81" t="s">
        <v>207</v>
      </c>
      <c r="D29" s="81" t="s">
        <v>208</v>
      </c>
      <c r="E29" s="81">
        <v>950804086</v>
      </c>
      <c r="F29" s="21" t="s">
        <v>209</v>
      </c>
      <c r="G29" s="83" t="s">
        <v>58</v>
      </c>
      <c r="H29" s="49" t="s">
        <v>211</v>
      </c>
      <c r="I29" s="110">
        <v>200000</v>
      </c>
      <c r="J29" s="1">
        <v>1975</v>
      </c>
      <c r="K29" s="81" t="s">
        <v>52</v>
      </c>
      <c r="L29" s="81" t="s">
        <v>213</v>
      </c>
      <c r="M29" s="7" t="s">
        <v>55</v>
      </c>
      <c r="N29" s="8"/>
      <c r="O29" s="8"/>
      <c r="P29" s="8"/>
      <c r="Q29" s="79" t="s">
        <v>214</v>
      </c>
      <c r="R29" s="24" t="s">
        <v>63</v>
      </c>
      <c r="S29" s="30">
        <v>350000</v>
      </c>
      <c r="T29" s="90">
        <f t="shared" si="0"/>
        <v>294117.64705882355</v>
      </c>
      <c r="U29" s="91">
        <f>Tabla1419[[#This Row],[NETO]]*2%</f>
        <v>5882.3529411764712</v>
      </c>
    </row>
    <row r="30" spans="1:21" x14ac:dyDescent="0.3">
      <c r="A30" s="89">
        <v>46035</v>
      </c>
      <c r="B30" s="16">
        <v>3409</v>
      </c>
      <c r="C30" s="81" t="s">
        <v>202</v>
      </c>
      <c r="D30" s="81" t="s">
        <v>203</v>
      </c>
      <c r="E30" s="81">
        <v>987670659</v>
      </c>
      <c r="F30" s="21" t="s">
        <v>210</v>
      </c>
      <c r="G30" s="83" t="s">
        <v>58</v>
      </c>
      <c r="H30" s="49" t="s">
        <v>204</v>
      </c>
      <c r="I30" s="84">
        <v>90000</v>
      </c>
      <c r="J30" s="1">
        <v>2019</v>
      </c>
      <c r="K30" s="81" t="s">
        <v>205</v>
      </c>
      <c r="L30" s="81" t="s">
        <v>212</v>
      </c>
      <c r="M30" s="7"/>
      <c r="N30" s="8"/>
      <c r="O30" s="8"/>
      <c r="P30" s="8" t="s">
        <v>55</v>
      </c>
      <c r="Q30" s="85" t="s">
        <v>206</v>
      </c>
      <c r="R30" s="24" t="s">
        <v>63</v>
      </c>
      <c r="S30" s="30">
        <v>249900</v>
      </c>
      <c r="T30" s="90">
        <f t="shared" si="0"/>
        <v>210000</v>
      </c>
      <c r="U30" s="91">
        <f>Tabla1419[[#This Row],[NETO]]*2%</f>
        <v>4200</v>
      </c>
    </row>
    <row r="31" spans="1:21" x14ac:dyDescent="0.3">
      <c r="A31" s="89">
        <v>46036</v>
      </c>
      <c r="B31" s="16">
        <v>3410</v>
      </c>
      <c r="C31" s="81" t="s">
        <v>217</v>
      </c>
      <c r="D31" s="81" t="s">
        <v>218</v>
      </c>
      <c r="E31" s="81">
        <v>982557266</v>
      </c>
      <c r="F31" s="21" t="s">
        <v>219</v>
      </c>
      <c r="G31" s="83" t="s">
        <v>220</v>
      </c>
      <c r="H31" s="49" t="s">
        <v>221</v>
      </c>
      <c r="I31" s="84">
        <v>182000</v>
      </c>
      <c r="J31" s="1">
        <v>2015</v>
      </c>
      <c r="K31" s="81" t="s">
        <v>92</v>
      </c>
      <c r="L31" s="81" t="s">
        <v>222</v>
      </c>
      <c r="M31" s="7" t="s">
        <v>55</v>
      </c>
      <c r="N31" s="8"/>
      <c r="O31" s="8"/>
      <c r="P31" s="8"/>
      <c r="Q31" s="85" t="s">
        <v>223</v>
      </c>
      <c r="R31" s="24" t="s">
        <v>63</v>
      </c>
      <c r="S31" s="30">
        <v>1600000</v>
      </c>
      <c r="T31" s="90">
        <f t="shared" si="0"/>
        <v>1344537.8151260505</v>
      </c>
      <c r="U31" s="91">
        <f>Tabla1419[[#This Row],[NETO]]*2%</f>
        <v>26890.756302521011</v>
      </c>
    </row>
    <row r="32" spans="1:21" x14ac:dyDescent="0.3">
      <c r="A32" s="89">
        <v>45672</v>
      </c>
      <c r="B32" s="16">
        <v>3411</v>
      </c>
      <c r="C32" s="81" t="s">
        <v>224</v>
      </c>
      <c r="D32" s="81" t="s">
        <v>227</v>
      </c>
      <c r="E32" s="81">
        <v>984043940</v>
      </c>
      <c r="F32" s="21" t="s">
        <v>228</v>
      </c>
      <c r="G32" s="83" t="s">
        <v>50</v>
      </c>
      <c r="H32" s="49">
        <v>540</v>
      </c>
      <c r="I32" s="84">
        <v>83000</v>
      </c>
      <c r="J32" s="1">
        <v>2018</v>
      </c>
      <c r="K32" s="81" t="s">
        <v>69</v>
      </c>
      <c r="L32" s="81" t="s">
        <v>225</v>
      </c>
      <c r="M32" s="7" t="s">
        <v>55</v>
      </c>
      <c r="N32" s="8" t="s">
        <v>55</v>
      </c>
      <c r="O32" s="8"/>
      <c r="P32" s="8"/>
      <c r="Q32" s="85" t="s">
        <v>226</v>
      </c>
      <c r="R32" s="24" t="s">
        <v>63</v>
      </c>
      <c r="S32" s="30">
        <v>1150000</v>
      </c>
      <c r="T32" s="90">
        <f t="shared" si="0"/>
        <v>966386.55462184874</v>
      </c>
      <c r="U32" s="91">
        <f>Tabla1419[[#This Row],[NETO]]*2%</f>
        <v>19327.731092436974</v>
      </c>
    </row>
    <row r="33" spans="1:24" x14ac:dyDescent="0.3">
      <c r="A33" s="89">
        <v>46038</v>
      </c>
      <c r="B33" s="16">
        <v>3412</v>
      </c>
      <c r="C33" s="81" t="s">
        <v>229</v>
      </c>
      <c r="D33" s="81" t="s">
        <v>230</v>
      </c>
      <c r="E33" s="81">
        <v>962048770</v>
      </c>
      <c r="F33" s="21" t="s">
        <v>231</v>
      </c>
      <c r="G33" s="83" t="s">
        <v>83</v>
      </c>
      <c r="H33" s="49" t="s">
        <v>84</v>
      </c>
      <c r="I33" s="84">
        <v>153000</v>
      </c>
      <c r="J33" s="1">
        <v>2017</v>
      </c>
      <c r="K33" s="81" t="s">
        <v>52</v>
      </c>
      <c r="L33" s="81" t="s">
        <v>232</v>
      </c>
      <c r="M33" s="7" t="s">
        <v>55</v>
      </c>
      <c r="N33" s="8"/>
      <c r="O33" s="8"/>
      <c r="P33" s="8"/>
      <c r="Q33" s="85" t="s">
        <v>233</v>
      </c>
      <c r="R33" s="24" t="s">
        <v>56</v>
      </c>
      <c r="S33" s="30">
        <v>449900</v>
      </c>
      <c r="T33" s="90">
        <f t="shared" si="0"/>
        <v>378067.22689075634</v>
      </c>
      <c r="U33" s="91">
        <f>Tabla1419[[#This Row],[NETO]]*2%</f>
        <v>7561.3445378151273</v>
      </c>
    </row>
    <row r="34" spans="1:24" x14ac:dyDescent="0.3">
      <c r="A34" s="89">
        <v>46038</v>
      </c>
      <c r="B34" s="16">
        <v>3413</v>
      </c>
      <c r="C34" s="81" t="s">
        <v>234</v>
      </c>
      <c r="D34" s="81" t="s">
        <v>235</v>
      </c>
      <c r="E34" s="81">
        <v>998837086</v>
      </c>
      <c r="F34" s="21" t="s">
        <v>236</v>
      </c>
      <c r="G34" s="83" t="s">
        <v>76</v>
      </c>
      <c r="H34" s="49" t="s">
        <v>77</v>
      </c>
      <c r="I34" s="84">
        <v>60000</v>
      </c>
      <c r="J34" s="1">
        <v>2024</v>
      </c>
      <c r="K34" s="81" t="s">
        <v>52</v>
      </c>
      <c r="L34" s="81" t="s">
        <v>237</v>
      </c>
      <c r="M34" s="7" t="s">
        <v>55</v>
      </c>
      <c r="N34" s="8"/>
      <c r="O34" s="8"/>
      <c r="P34" s="8"/>
      <c r="Q34" s="85" t="s">
        <v>244</v>
      </c>
      <c r="R34" s="24" t="s">
        <v>63</v>
      </c>
      <c r="S34" s="30">
        <v>859700</v>
      </c>
      <c r="T34" s="90">
        <f t="shared" si="0"/>
        <v>722436.97478991596</v>
      </c>
      <c r="U34" s="91">
        <f>Tabla1419[[#This Row],[NETO]]*2%</f>
        <v>14448.73949579832</v>
      </c>
    </row>
    <row r="35" spans="1:24" x14ac:dyDescent="0.3">
      <c r="A35" s="89">
        <v>46038</v>
      </c>
      <c r="B35" s="16">
        <v>3414</v>
      </c>
      <c r="C35" s="81" t="s">
        <v>238</v>
      </c>
      <c r="D35" s="81" t="s">
        <v>239</v>
      </c>
      <c r="E35" s="81">
        <v>969178676</v>
      </c>
      <c r="F35" s="21" t="s">
        <v>240</v>
      </c>
      <c r="G35" s="83" t="s">
        <v>58</v>
      </c>
      <c r="H35" s="49" t="s">
        <v>241</v>
      </c>
      <c r="I35" s="84">
        <v>75000</v>
      </c>
      <c r="J35" s="1">
        <v>2018</v>
      </c>
      <c r="K35" s="81" t="s">
        <v>52</v>
      </c>
      <c r="L35" s="81" t="s">
        <v>242</v>
      </c>
      <c r="M35" s="7" t="s">
        <v>55</v>
      </c>
      <c r="N35" s="8"/>
      <c r="O35" s="8"/>
      <c r="P35" s="8"/>
      <c r="Q35" s="85" t="s">
        <v>243</v>
      </c>
      <c r="R35" s="24" t="s">
        <v>56</v>
      </c>
      <c r="S35" s="30">
        <v>449900</v>
      </c>
      <c r="T35" s="90">
        <f t="shared" si="0"/>
        <v>378067.22689075634</v>
      </c>
      <c r="U35" s="91">
        <f>Tabla1419[[#This Row],[NETO]]*2%</f>
        <v>7561.3445378151273</v>
      </c>
    </row>
    <row r="36" spans="1:24" x14ac:dyDescent="0.3">
      <c r="A36" s="89">
        <v>46041</v>
      </c>
      <c r="B36" s="16">
        <v>3415</v>
      </c>
      <c r="C36" s="81" t="s">
        <v>254</v>
      </c>
      <c r="D36" s="49">
        <v>26213430</v>
      </c>
      <c r="E36" s="81">
        <v>5492664301288</v>
      </c>
      <c r="F36" s="21" t="s">
        <v>255</v>
      </c>
      <c r="G36" s="83" t="s">
        <v>246</v>
      </c>
      <c r="H36" s="49" t="s">
        <v>247</v>
      </c>
      <c r="I36" s="84">
        <v>49000</v>
      </c>
      <c r="J36" s="1">
        <v>2017</v>
      </c>
      <c r="K36" s="81" t="s">
        <v>60</v>
      </c>
      <c r="M36" s="7" t="s">
        <v>55</v>
      </c>
      <c r="N36" s="8"/>
      <c r="O36" s="8"/>
      <c r="P36" s="8"/>
      <c r="Q36" s="85" t="s">
        <v>248</v>
      </c>
      <c r="R36" s="24" t="s">
        <v>56</v>
      </c>
      <c r="S36" s="30">
        <v>1009900</v>
      </c>
      <c r="T36" s="90">
        <f t="shared" si="0"/>
        <v>848655.46218487399</v>
      </c>
      <c r="U36" s="91">
        <f>Tabla1419[[#This Row],[NETO]]*2%</f>
        <v>16973.10924369748</v>
      </c>
    </row>
    <row r="37" spans="1:24" x14ac:dyDescent="0.3">
      <c r="A37" s="89">
        <v>45676</v>
      </c>
      <c r="B37" s="16">
        <v>3416</v>
      </c>
      <c r="C37" s="81" t="s">
        <v>249</v>
      </c>
      <c r="D37" s="81" t="s">
        <v>250</v>
      </c>
      <c r="E37" s="81">
        <v>944903816</v>
      </c>
      <c r="F37" s="21" t="s">
        <v>251</v>
      </c>
      <c r="G37" s="83" t="s">
        <v>220</v>
      </c>
      <c r="H37" s="49" t="s">
        <v>221</v>
      </c>
      <c r="I37" s="84">
        <v>55000</v>
      </c>
      <c r="J37" s="1">
        <v>2022</v>
      </c>
      <c r="K37" s="81" t="s">
        <v>52</v>
      </c>
      <c r="L37" s="81" t="s">
        <v>252</v>
      </c>
      <c r="M37" s="7" t="s">
        <v>55</v>
      </c>
      <c r="N37" s="8"/>
      <c r="O37" s="8"/>
      <c r="P37" s="8"/>
      <c r="Q37" s="85" t="s">
        <v>253</v>
      </c>
      <c r="R37" s="24" t="s">
        <v>56</v>
      </c>
      <c r="S37" s="30">
        <v>2100000</v>
      </c>
      <c r="T37" s="90">
        <f t="shared" si="0"/>
        <v>1764705.8823529412</v>
      </c>
      <c r="U37" s="91">
        <f>Tabla1419[[#This Row],[NETO]]*2%</f>
        <v>35294.117647058825</v>
      </c>
    </row>
    <row r="38" spans="1:24" x14ac:dyDescent="0.3">
      <c r="A38" s="89">
        <v>46041</v>
      </c>
      <c r="B38" s="16">
        <v>3417</v>
      </c>
      <c r="C38" s="81" t="s">
        <v>256</v>
      </c>
      <c r="D38" s="81" t="s">
        <v>257</v>
      </c>
      <c r="E38" s="81">
        <v>975291632</v>
      </c>
      <c r="F38" s="21" t="s">
        <v>258</v>
      </c>
      <c r="G38" s="83" t="s">
        <v>50</v>
      </c>
      <c r="H38" s="49" t="s">
        <v>259</v>
      </c>
      <c r="I38" s="84">
        <v>49000</v>
      </c>
      <c r="J38" s="1">
        <v>2021</v>
      </c>
      <c r="K38" s="81" t="s">
        <v>114</v>
      </c>
      <c r="L38" s="81" t="s">
        <v>260</v>
      </c>
      <c r="M38" s="7" t="s">
        <v>55</v>
      </c>
      <c r="N38" s="8"/>
      <c r="O38" s="8"/>
      <c r="P38" s="8"/>
      <c r="Q38" s="85" t="s">
        <v>261</v>
      </c>
      <c r="R38" s="24" t="s">
        <v>56</v>
      </c>
      <c r="S38" s="30">
        <v>849000</v>
      </c>
      <c r="T38" s="90">
        <f t="shared" si="0"/>
        <v>713445.37815126055</v>
      </c>
      <c r="U38" s="91">
        <f>Tabla1419[[#This Row],[NETO]]*2%</f>
        <v>14268.907563025212</v>
      </c>
    </row>
    <row r="39" spans="1:24" x14ac:dyDescent="0.3">
      <c r="A39" s="89">
        <v>46041</v>
      </c>
      <c r="B39" s="16">
        <v>3418</v>
      </c>
      <c r="C39" s="81" t="s">
        <v>264</v>
      </c>
      <c r="D39" s="81" t="s">
        <v>410</v>
      </c>
      <c r="E39" s="81">
        <v>964866880</v>
      </c>
      <c r="F39" s="21" t="s">
        <v>330</v>
      </c>
      <c r="G39" s="83" t="s">
        <v>262</v>
      </c>
      <c r="H39" s="49" t="s">
        <v>263</v>
      </c>
      <c r="I39" s="84">
        <v>130000</v>
      </c>
      <c r="J39" s="1">
        <v>2012</v>
      </c>
      <c r="K39" s="81" t="s">
        <v>99</v>
      </c>
      <c r="L39" s="81" t="s">
        <v>329</v>
      </c>
      <c r="M39" s="7"/>
      <c r="N39" s="8"/>
      <c r="O39" s="8"/>
      <c r="P39" s="8" t="s">
        <v>55</v>
      </c>
      <c r="Q39" s="85" t="s">
        <v>265</v>
      </c>
      <c r="R39" s="24" t="s">
        <v>63</v>
      </c>
      <c r="S39" s="30">
        <v>25000</v>
      </c>
      <c r="T39" s="90">
        <f t="shared" si="0"/>
        <v>21008.403361344539</v>
      </c>
      <c r="U39" s="91">
        <f>Tabla1419[[#This Row],[NETO]]*2%</f>
        <v>420.1680672268908</v>
      </c>
    </row>
    <row r="40" spans="1:24" x14ac:dyDescent="0.3">
      <c r="A40" s="89">
        <v>46041</v>
      </c>
      <c r="B40" s="16">
        <v>3419</v>
      </c>
      <c r="C40" s="81" t="s">
        <v>266</v>
      </c>
      <c r="D40" s="81" t="s">
        <v>267</v>
      </c>
      <c r="E40" s="81">
        <v>976370656</v>
      </c>
      <c r="F40" s="21" t="s">
        <v>268</v>
      </c>
      <c r="G40" s="83" t="s">
        <v>269</v>
      </c>
      <c r="H40" s="49" t="s">
        <v>270</v>
      </c>
      <c r="I40" s="84">
        <v>120000</v>
      </c>
      <c r="J40" s="1">
        <v>2010</v>
      </c>
      <c r="K40" s="81" t="s">
        <v>52</v>
      </c>
      <c r="L40" s="81" t="s">
        <v>271</v>
      </c>
      <c r="M40" s="7"/>
      <c r="N40" s="8"/>
      <c r="O40" s="8"/>
      <c r="P40" s="8" t="s">
        <v>55</v>
      </c>
      <c r="Q40" s="85" t="s">
        <v>272</v>
      </c>
      <c r="R40" s="24" t="s">
        <v>63</v>
      </c>
      <c r="S40" s="30">
        <v>304900</v>
      </c>
      <c r="T40" s="90">
        <f>S40/1.19</f>
        <v>256218.48739495801</v>
      </c>
      <c r="U40" s="91">
        <f>Tabla1419[[#This Row],[NETO]]*2%</f>
        <v>5124.3697478991598</v>
      </c>
    </row>
    <row r="41" spans="1:24" x14ac:dyDescent="0.3">
      <c r="A41" s="89">
        <v>46041</v>
      </c>
      <c r="B41" s="16">
        <v>3420</v>
      </c>
      <c r="C41" s="81" t="s">
        <v>273</v>
      </c>
      <c r="D41" s="81" t="s">
        <v>274</v>
      </c>
      <c r="E41" s="81">
        <v>966304303</v>
      </c>
      <c r="F41" s="21" t="s">
        <v>275</v>
      </c>
      <c r="G41" s="83" t="s">
        <v>276</v>
      </c>
      <c r="H41" s="49" t="s">
        <v>277</v>
      </c>
      <c r="I41" s="84">
        <v>100000</v>
      </c>
      <c r="J41" s="1">
        <v>2000</v>
      </c>
      <c r="K41" s="81" t="s">
        <v>52</v>
      </c>
      <c r="L41" s="81" t="s">
        <v>278</v>
      </c>
      <c r="M41" s="7"/>
      <c r="N41" s="8"/>
      <c r="O41" s="8"/>
      <c r="P41" s="8" t="s">
        <v>55</v>
      </c>
      <c r="Q41" s="85" t="s">
        <v>279</v>
      </c>
      <c r="R41" s="24" t="s">
        <v>63</v>
      </c>
      <c r="S41" s="30">
        <v>209900</v>
      </c>
      <c r="T41" s="90">
        <f>S41/1.19</f>
        <v>176386.55462184874</v>
      </c>
      <c r="U41" s="91">
        <f>Tabla1419[[#This Row],[NETO]]*2%</f>
        <v>3527.7310924369749</v>
      </c>
    </row>
    <row r="42" spans="1:24" x14ac:dyDescent="0.3">
      <c r="A42" s="89">
        <v>46042</v>
      </c>
      <c r="B42" s="16">
        <v>3421</v>
      </c>
      <c r="C42" s="81" t="s">
        <v>280</v>
      </c>
      <c r="D42" s="81" t="s">
        <v>281</v>
      </c>
      <c r="E42" s="81">
        <v>998222010</v>
      </c>
      <c r="F42" s="21" t="s">
        <v>284</v>
      </c>
      <c r="G42" s="83" t="s">
        <v>76</v>
      </c>
      <c r="H42" s="49" t="s">
        <v>77</v>
      </c>
      <c r="I42" s="84">
        <v>700</v>
      </c>
      <c r="J42" s="1">
        <v>2025</v>
      </c>
      <c r="K42" s="81" t="s">
        <v>99</v>
      </c>
      <c r="L42" s="81" t="s">
        <v>282</v>
      </c>
      <c r="M42" s="7" t="s">
        <v>55</v>
      </c>
      <c r="N42" s="8"/>
      <c r="O42" s="8"/>
      <c r="P42" s="8"/>
      <c r="Q42" s="85" t="s">
        <v>283</v>
      </c>
      <c r="R42" s="24" t="s">
        <v>56</v>
      </c>
      <c r="S42" s="30">
        <v>199900</v>
      </c>
      <c r="T42" s="90">
        <f>S42/1.19</f>
        <v>167983.19327731093</v>
      </c>
      <c r="U42" s="91">
        <f>Tabla1419[[#This Row],[NETO]]*2%</f>
        <v>3359.6638655462189</v>
      </c>
    </row>
    <row r="43" spans="1:24" x14ac:dyDescent="0.3">
      <c r="A43" s="89">
        <v>46042</v>
      </c>
      <c r="B43" s="16">
        <v>3422</v>
      </c>
      <c r="C43" s="81" t="s">
        <v>305</v>
      </c>
      <c r="D43" s="81" t="s">
        <v>306</v>
      </c>
      <c r="E43" s="81">
        <v>982407526</v>
      </c>
      <c r="F43" s="21" t="s">
        <v>308</v>
      </c>
      <c r="G43" s="83" t="s">
        <v>303</v>
      </c>
      <c r="H43" s="49" t="s">
        <v>194</v>
      </c>
      <c r="I43" s="110">
        <v>60000</v>
      </c>
      <c r="J43" s="1">
        <v>2025</v>
      </c>
      <c r="K43" s="81" t="s">
        <v>309</v>
      </c>
      <c r="L43" s="81" t="s">
        <v>310</v>
      </c>
      <c r="M43" s="7" t="s">
        <v>55</v>
      </c>
      <c r="N43" s="8"/>
      <c r="O43" s="8"/>
      <c r="P43" s="8"/>
      <c r="Q43" s="79" t="s">
        <v>311</v>
      </c>
      <c r="R43" s="24" t="s">
        <v>56</v>
      </c>
      <c r="S43" s="30">
        <v>449900</v>
      </c>
      <c r="T43" s="90">
        <f>S43/1.19</f>
        <v>378067.22689075634</v>
      </c>
      <c r="U43" s="91">
        <f>Tabla1419[[#This Row],[NETO]]*2%</f>
        <v>7561.3445378151273</v>
      </c>
    </row>
    <row r="44" spans="1:24" x14ac:dyDescent="0.3">
      <c r="A44" s="89">
        <v>46043</v>
      </c>
      <c r="B44" s="16">
        <v>3423</v>
      </c>
      <c r="C44" s="81" t="s">
        <v>312</v>
      </c>
      <c r="D44" s="81" t="s">
        <v>313</v>
      </c>
      <c r="E44" s="81">
        <v>933545615</v>
      </c>
      <c r="F44" s="21" t="s">
        <v>314</v>
      </c>
      <c r="G44" s="83" t="s">
        <v>315</v>
      </c>
      <c r="H44" s="49" t="s">
        <v>316</v>
      </c>
      <c r="I44" s="110">
        <v>94000</v>
      </c>
      <c r="J44" s="1">
        <v>2017</v>
      </c>
      <c r="K44" s="81" t="s">
        <v>52</v>
      </c>
      <c r="L44" s="81" t="s">
        <v>317</v>
      </c>
      <c r="M44" s="7" t="s">
        <v>55</v>
      </c>
      <c r="N44" s="8"/>
      <c r="O44" s="8"/>
      <c r="P44" s="8"/>
      <c r="Q44" s="79" t="s">
        <v>318</v>
      </c>
      <c r="R44" s="24" t="s">
        <v>63</v>
      </c>
      <c r="S44" s="30">
        <v>210000</v>
      </c>
      <c r="T44" s="90">
        <f>S44/1.19</f>
        <v>176470.58823529413</v>
      </c>
      <c r="U44" s="91">
        <f>Tabla1419[[#This Row],[NETO]]*2%</f>
        <v>3529.4117647058824</v>
      </c>
      <c r="X44" s="81"/>
    </row>
    <row r="45" spans="1:24" x14ac:dyDescent="0.3">
      <c r="A45" s="89">
        <v>46044</v>
      </c>
      <c r="B45" s="16">
        <v>3424</v>
      </c>
      <c r="C45" s="81" t="s">
        <v>285</v>
      </c>
      <c r="D45" s="81" t="s">
        <v>286</v>
      </c>
      <c r="E45" s="81">
        <v>989056310</v>
      </c>
      <c r="F45" s="21" t="s">
        <v>287</v>
      </c>
      <c r="G45" s="83" t="s">
        <v>50</v>
      </c>
      <c r="H45" s="49">
        <v>335</v>
      </c>
      <c r="I45" s="84">
        <v>140000</v>
      </c>
      <c r="J45" s="1">
        <v>2014</v>
      </c>
      <c r="K45" s="81" t="s">
        <v>60</v>
      </c>
      <c r="L45" s="81" t="s">
        <v>288</v>
      </c>
      <c r="M45" s="7" t="s">
        <v>55</v>
      </c>
      <c r="N45" s="8"/>
      <c r="O45" s="8"/>
      <c r="P45" s="8"/>
      <c r="Q45" s="85" t="s">
        <v>289</v>
      </c>
      <c r="R45" s="24" t="s">
        <v>56</v>
      </c>
      <c r="S45" s="30">
        <v>549900</v>
      </c>
      <c r="T45" s="90">
        <f t="shared" si="0"/>
        <v>462100.84033613448</v>
      </c>
      <c r="U45" s="91">
        <f>Tabla1419[[#This Row],[NETO]]*2%</f>
        <v>9242.0168067226896</v>
      </c>
      <c r="X45" s="81"/>
    </row>
    <row r="46" spans="1:24" x14ac:dyDescent="0.3">
      <c r="A46" s="89">
        <v>46044</v>
      </c>
      <c r="B46" s="16">
        <v>3425</v>
      </c>
      <c r="C46" s="81" t="s">
        <v>290</v>
      </c>
      <c r="D46" s="81" t="s">
        <v>291</v>
      </c>
      <c r="E46" s="81">
        <v>966949210</v>
      </c>
      <c r="F46" s="21" t="s">
        <v>319</v>
      </c>
      <c r="G46" s="83" t="s">
        <v>292</v>
      </c>
      <c r="H46" s="49" t="s">
        <v>293</v>
      </c>
      <c r="I46" s="84">
        <v>200000</v>
      </c>
      <c r="J46" s="1">
        <v>2012</v>
      </c>
      <c r="K46" s="81" t="s">
        <v>92</v>
      </c>
      <c r="L46" s="81" t="s">
        <v>320</v>
      </c>
      <c r="M46" s="7"/>
      <c r="N46" s="8"/>
      <c r="O46" s="8"/>
      <c r="P46" s="8" t="s">
        <v>55</v>
      </c>
      <c r="Q46" s="85" t="s">
        <v>321</v>
      </c>
      <c r="R46" s="24" t="s">
        <v>56</v>
      </c>
      <c r="S46" s="30">
        <v>9000</v>
      </c>
      <c r="T46" s="90">
        <f t="shared" si="0"/>
        <v>7563.0252100840344</v>
      </c>
      <c r="U46" s="91">
        <f>Tabla1419[[#This Row],[NETO]]*2%</f>
        <v>151.2605042016807</v>
      </c>
      <c r="V46" s="81" t="s">
        <v>299</v>
      </c>
      <c r="X46" s="81"/>
    </row>
    <row r="47" spans="1:24" x14ac:dyDescent="0.3">
      <c r="A47" s="89">
        <v>46044</v>
      </c>
      <c r="B47" s="16">
        <v>3426</v>
      </c>
      <c r="C47" s="81" t="s">
        <v>294</v>
      </c>
      <c r="D47" s="81" t="s">
        <v>295</v>
      </c>
      <c r="E47" s="81">
        <v>995382901</v>
      </c>
      <c r="F47" s="21" t="s">
        <v>296</v>
      </c>
      <c r="G47" s="83" t="s">
        <v>76</v>
      </c>
      <c r="H47" s="49" t="s">
        <v>98</v>
      </c>
      <c r="I47" s="84">
        <v>33500</v>
      </c>
      <c r="J47" s="1">
        <v>2017</v>
      </c>
      <c r="K47" s="81" t="s">
        <v>99</v>
      </c>
      <c r="L47" s="81" t="s">
        <v>297</v>
      </c>
      <c r="M47" s="7" t="s">
        <v>55</v>
      </c>
      <c r="N47" s="8"/>
      <c r="O47" s="8"/>
      <c r="P47" s="8"/>
      <c r="Q47" s="85" t="s">
        <v>298</v>
      </c>
      <c r="R47" s="24" t="s">
        <v>56</v>
      </c>
      <c r="S47" s="30">
        <v>330000</v>
      </c>
      <c r="T47" s="90">
        <f t="shared" si="0"/>
        <v>277310.92436974793</v>
      </c>
      <c r="U47" s="91">
        <f>Tabla1419[[#This Row],[NETO]]*2%</f>
        <v>5546.2184873949582</v>
      </c>
      <c r="X47" s="81"/>
    </row>
    <row r="48" spans="1:24" x14ac:dyDescent="0.3">
      <c r="A48" s="89">
        <v>46044</v>
      </c>
      <c r="B48" s="16">
        <v>3427</v>
      </c>
      <c r="C48" s="81" t="s">
        <v>300</v>
      </c>
      <c r="D48" s="81" t="s">
        <v>301</v>
      </c>
      <c r="E48" s="81">
        <v>995384076</v>
      </c>
      <c r="F48" s="21" t="s">
        <v>302</v>
      </c>
      <c r="G48" s="83" t="s">
        <v>303</v>
      </c>
      <c r="H48" s="49" t="s">
        <v>194</v>
      </c>
      <c r="I48" s="84">
        <v>219000</v>
      </c>
      <c r="J48" s="1">
        <v>1990</v>
      </c>
      <c r="K48" s="81" t="s">
        <v>304</v>
      </c>
      <c r="L48" s="81" t="s">
        <v>322</v>
      </c>
      <c r="M48" s="7" t="s">
        <v>55</v>
      </c>
      <c r="N48" s="8"/>
      <c r="O48" s="8"/>
      <c r="P48" s="8"/>
      <c r="Q48" s="85" t="s">
        <v>323</v>
      </c>
      <c r="R48" s="24" t="s">
        <v>56</v>
      </c>
      <c r="S48" s="30">
        <v>1299900</v>
      </c>
      <c r="T48" s="90">
        <f t="shared" si="0"/>
        <v>1092352.9411764706</v>
      </c>
      <c r="U48" s="91">
        <f>Tabla1419[[#This Row],[NETO]]*2%</f>
        <v>21847.058823529413</v>
      </c>
      <c r="X48" s="81"/>
    </row>
    <row r="49" spans="1:24" x14ac:dyDescent="0.3">
      <c r="A49" s="89">
        <v>46044</v>
      </c>
      <c r="B49" s="16">
        <v>3428</v>
      </c>
      <c r="C49" s="81" t="s">
        <v>324</v>
      </c>
      <c r="D49" s="81" t="s">
        <v>342</v>
      </c>
      <c r="E49" s="81">
        <v>993972232</v>
      </c>
      <c r="G49" s="83" t="s">
        <v>325</v>
      </c>
      <c r="H49" s="49" t="s">
        <v>326</v>
      </c>
      <c r="I49" s="110">
        <v>10000</v>
      </c>
      <c r="J49" s="1">
        <v>2023</v>
      </c>
      <c r="K49" s="81" t="s">
        <v>92</v>
      </c>
      <c r="L49" s="81" t="s">
        <v>327</v>
      </c>
      <c r="M49" s="7" t="s">
        <v>55</v>
      </c>
      <c r="N49" s="8"/>
      <c r="O49" s="8"/>
      <c r="P49" s="8"/>
      <c r="Q49" s="79" t="s">
        <v>328</v>
      </c>
      <c r="R49" s="24" t="s">
        <v>63</v>
      </c>
      <c r="S49" s="30">
        <v>2499900</v>
      </c>
      <c r="T49" s="90">
        <f t="shared" si="0"/>
        <v>2100756.3025210085</v>
      </c>
      <c r="U49" s="91">
        <f>Tabla1419[[#This Row],[NETO]]*2%</f>
        <v>42015.126050420171</v>
      </c>
      <c r="X49" s="81"/>
    </row>
    <row r="50" spans="1:24" x14ac:dyDescent="0.3">
      <c r="A50" s="89">
        <v>46045</v>
      </c>
      <c r="B50" s="16">
        <v>3429</v>
      </c>
      <c r="C50" s="81" t="s">
        <v>331</v>
      </c>
      <c r="D50" s="81" t="s">
        <v>332</v>
      </c>
      <c r="E50" s="81">
        <v>974668006</v>
      </c>
      <c r="F50" s="21" t="s">
        <v>333</v>
      </c>
      <c r="G50" s="83" t="s">
        <v>193</v>
      </c>
      <c r="H50" s="49" t="s">
        <v>334</v>
      </c>
      <c r="I50" s="110">
        <v>39900</v>
      </c>
      <c r="J50" s="1">
        <v>2018</v>
      </c>
      <c r="K50" s="81" t="s">
        <v>52</v>
      </c>
      <c r="L50" s="81" t="s">
        <v>335</v>
      </c>
      <c r="M50" s="7" t="s">
        <v>55</v>
      </c>
      <c r="N50" s="8"/>
      <c r="O50" s="8"/>
      <c r="P50" s="8"/>
      <c r="Q50" s="79" t="s">
        <v>311</v>
      </c>
      <c r="R50" s="78" t="s">
        <v>56</v>
      </c>
      <c r="S50" s="30">
        <v>449900</v>
      </c>
      <c r="T50" s="90">
        <f t="shared" ref="T50:T76" si="1">S50/1.19</f>
        <v>378067.22689075634</v>
      </c>
      <c r="U50" s="91">
        <f>Tabla1419[[#This Row],[NETO]]*2%</f>
        <v>7561.3445378151273</v>
      </c>
      <c r="X50" s="81"/>
    </row>
    <row r="51" spans="1:24" x14ac:dyDescent="0.3">
      <c r="A51" s="89">
        <v>46045</v>
      </c>
      <c r="B51" s="16">
        <v>3430</v>
      </c>
      <c r="C51" s="81" t="s">
        <v>336</v>
      </c>
      <c r="D51" s="81" t="s">
        <v>337</v>
      </c>
      <c r="E51" s="81">
        <v>968010335</v>
      </c>
      <c r="F51" s="21" t="s">
        <v>338</v>
      </c>
      <c r="G51" s="83" t="s">
        <v>164</v>
      </c>
      <c r="H51" s="49" t="s">
        <v>339</v>
      </c>
      <c r="I51" s="110">
        <v>130000</v>
      </c>
      <c r="J51" s="1">
        <v>2012</v>
      </c>
      <c r="K51" s="81" t="s">
        <v>52</v>
      </c>
      <c r="L51" s="81" t="s">
        <v>340</v>
      </c>
      <c r="M51" s="7" t="s">
        <v>55</v>
      </c>
      <c r="N51" s="8"/>
      <c r="O51" s="8"/>
      <c r="P51" s="8"/>
      <c r="Q51" s="79" t="s">
        <v>341</v>
      </c>
      <c r="R51" s="78" t="s">
        <v>56</v>
      </c>
      <c r="S51" s="30">
        <v>200000</v>
      </c>
      <c r="T51" s="90">
        <f t="shared" si="1"/>
        <v>168067.22689075631</v>
      </c>
      <c r="U51" s="91">
        <f>Tabla1419[[#This Row],[NETO]]*2%</f>
        <v>3361.3445378151264</v>
      </c>
      <c r="X51" s="81"/>
    </row>
    <row r="52" spans="1:24" x14ac:dyDescent="0.3">
      <c r="A52" s="89">
        <v>46048</v>
      </c>
      <c r="B52" s="16">
        <v>3431</v>
      </c>
      <c r="C52" s="81" t="s">
        <v>343</v>
      </c>
      <c r="D52" s="81" t="s">
        <v>347</v>
      </c>
      <c r="E52" s="81">
        <v>942365455</v>
      </c>
      <c r="F52" s="21" t="s">
        <v>344</v>
      </c>
      <c r="G52" s="83" t="s">
        <v>76</v>
      </c>
      <c r="H52" s="49" t="s">
        <v>77</v>
      </c>
      <c r="I52" s="110">
        <v>171000</v>
      </c>
      <c r="J52" s="1">
        <v>2016</v>
      </c>
      <c r="K52" s="81" t="s">
        <v>114</v>
      </c>
      <c r="L52" s="81" t="s">
        <v>345</v>
      </c>
      <c r="M52" s="7" t="s">
        <v>55</v>
      </c>
      <c r="N52" s="8"/>
      <c r="O52" s="8"/>
      <c r="P52" s="8"/>
      <c r="Q52" s="79" t="s">
        <v>346</v>
      </c>
      <c r="R52" s="78" t="s">
        <v>56</v>
      </c>
      <c r="S52" s="30">
        <v>1499900</v>
      </c>
      <c r="T52" s="90">
        <f t="shared" si="1"/>
        <v>1260420.1680672269</v>
      </c>
      <c r="U52" s="91">
        <f>Tabla1419[[#This Row],[NETO]]*2%</f>
        <v>25208.403361344539</v>
      </c>
      <c r="X52" s="81"/>
    </row>
    <row r="53" spans="1:24" x14ac:dyDescent="0.3">
      <c r="A53" s="89">
        <v>46048</v>
      </c>
      <c r="B53" s="16">
        <v>3432</v>
      </c>
      <c r="C53" s="81" t="s">
        <v>348</v>
      </c>
      <c r="D53" s="81" t="s">
        <v>349</v>
      </c>
      <c r="E53" s="81">
        <v>950985914</v>
      </c>
      <c r="F53" s="81" t="s">
        <v>350</v>
      </c>
      <c r="G53" s="83" t="s">
        <v>303</v>
      </c>
      <c r="H53" s="49" t="s">
        <v>194</v>
      </c>
      <c r="I53" s="110">
        <v>7000</v>
      </c>
      <c r="J53" s="1">
        <v>2025</v>
      </c>
      <c r="K53" s="81" t="s">
        <v>92</v>
      </c>
      <c r="L53" s="81" t="s">
        <v>351</v>
      </c>
      <c r="M53" s="7" t="s">
        <v>55</v>
      </c>
      <c r="N53" s="8"/>
      <c r="O53" s="8"/>
      <c r="P53" s="8"/>
      <c r="Q53" s="79" t="s">
        <v>352</v>
      </c>
      <c r="R53" s="78" t="s">
        <v>56</v>
      </c>
      <c r="S53" s="30">
        <v>349900</v>
      </c>
      <c r="T53" s="90">
        <f t="shared" si="1"/>
        <v>294033.61344537814</v>
      </c>
      <c r="U53" s="91">
        <f>Tabla1419[[#This Row],[NETO]]*2%</f>
        <v>5880.6722689075632</v>
      </c>
      <c r="X53" s="81"/>
    </row>
    <row r="54" spans="1:24" x14ac:dyDescent="0.3">
      <c r="A54" s="89">
        <v>46048</v>
      </c>
      <c r="B54" s="16">
        <v>3433</v>
      </c>
      <c r="C54" s="81" t="s">
        <v>353</v>
      </c>
      <c r="D54" s="81" t="s">
        <v>354</v>
      </c>
      <c r="E54" s="81">
        <v>996381601</v>
      </c>
      <c r="F54" s="21" t="s">
        <v>355</v>
      </c>
      <c r="G54" s="83" t="s">
        <v>50</v>
      </c>
      <c r="H54" s="49" t="s">
        <v>356</v>
      </c>
      <c r="I54" s="110">
        <v>33700</v>
      </c>
      <c r="J54" s="1">
        <v>2018</v>
      </c>
      <c r="K54" s="81" t="s">
        <v>69</v>
      </c>
      <c r="L54" s="81" t="s">
        <v>357</v>
      </c>
      <c r="M54" s="7"/>
      <c r="N54" s="8"/>
      <c r="O54" s="8"/>
      <c r="P54" s="8" t="s">
        <v>55</v>
      </c>
      <c r="Q54" s="79" t="s">
        <v>87</v>
      </c>
      <c r="R54" s="78" t="s">
        <v>56</v>
      </c>
      <c r="S54" s="30">
        <v>110000</v>
      </c>
      <c r="T54" s="90">
        <f t="shared" si="1"/>
        <v>92436.97478991597</v>
      </c>
      <c r="U54" s="91">
        <f>Tabla1419[[#This Row],[NETO]]*2%</f>
        <v>1848.7394957983195</v>
      </c>
      <c r="X54" s="81"/>
    </row>
    <row r="55" spans="1:24" x14ac:dyDescent="0.3">
      <c r="A55" s="89">
        <v>46048</v>
      </c>
      <c r="B55" s="16">
        <v>3434</v>
      </c>
      <c r="C55" s="81" t="s">
        <v>64</v>
      </c>
      <c r="D55" s="81" t="s">
        <v>65</v>
      </c>
      <c r="E55" s="81">
        <v>984994702</v>
      </c>
      <c r="F55" s="21" t="s">
        <v>66</v>
      </c>
      <c r="G55" s="83" t="s">
        <v>67</v>
      </c>
      <c r="H55" s="49" t="s">
        <v>68</v>
      </c>
      <c r="I55" s="110">
        <v>8500</v>
      </c>
      <c r="J55" s="1">
        <v>2025</v>
      </c>
      <c r="K55" s="81" t="s">
        <v>69</v>
      </c>
      <c r="L55" s="81" t="s">
        <v>70</v>
      </c>
      <c r="M55" s="7"/>
      <c r="N55" s="8" t="s">
        <v>55</v>
      </c>
      <c r="O55" s="8"/>
      <c r="P55" s="8" t="s">
        <v>55</v>
      </c>
      <c r="Q55" s="79" t="s">
        <v>358</v>
      </c>
      <c r="R55" s="78" t="s">
        <v>63</v>
      </c>
      <c r="S55" s="30">
        <v>600000</v>
      </c>
      <c r="T55" s="90">
        <f t="shared" si="1"/>
        <v>504201.68067226891</v>
      </c>
      <c r="U55" s="91">
        <f>Tabla1419[[#This Row],[NETO]]*2%</f>
        <v>10084.033613445379</v>
      </c>
      <c r="X55" s="81"/>
    </row>
    <row r="56" spans="1:24" x14ac:dyDescent="0.3">
      <c r="A56" s="89">
        <v>46049</v>
      </c>
      <c r="B56" s="16">
        <v>3435</v>
      </c>
      <c r="C56" s="81" t="s">
        <v>359</v>
      </c>
      <c r="D56" s="81" t="s">
        <v>360</v>
      </c>
      <c r="E56" s="81">
        <v>942527677</v>
      </c>
      <c r="F56" s="21" t="s">
        <v>361</v>
      </c>
      <c r="G56" s="83" t="s">
        <v>50</v>
      </c>
      <c r="H56" s="49">
        <v>420</v>
      </c>
      <c r="I56" s="110">
        <v>108000</v>
      </c>
      <c r="J56" s="1">
        <v>2018</v>
      </c>
      <c r="K56" s="81" t="s">
        <v>52</v>
      </c>
      <c r="L56" s="81" t="s">
        <v>362</v>
      </c>
      <c r="M56" s="7" t="s">
        <v>55</v>
      </c>
      <c r="N56" s="8"/>
      <c r="O56" s="8"/>
      <c r="P56" s="8"/>
      <c r="Q56" s="79" t="s">
        <v>363</v>
      </c>
      <c r="R56" s="78" t="s">
        <v>56</v>
      </c>
      <c r="S56" s="30">
        <v>2100000</v>
      </c>
      <c r="T56" s="90">
        <f t="shared" si="1"/>
        <v>1764705.8823529412</v>
      </c>
      <c r="U56" s="91">
        <f>Tabla1419[[#This Row],[NETO]]*2%</f>
        <v>35294.117647058825</v>
      </c>
      <c r="X56" s="81"/>
    </row>
    <row r="57" spans="1:24" x14ac:dyDescent="0.3">
      <c r="A57" s="89">
        <v>46049</v>
      </c>
      <c r="B57" s="16">
        <v>3436</v>
      </c>
      <c r="C57" s="81" t="s">
        <v>364</v>
      </c>
      <c r="D57" s="81" t="s">
        <v>365</v>
      </c>
      <c r="E57" s="81">
        <v>991957375</v>
      </c>
      <c r="F57" s="21" t="s">
        <v>366</v>
      </c>
      <c r="G57" s="83" t="s">
        <v>367</v>
      </c>
      <c r="H57" s="49" t="s">
        <v>368</v>
      </c>
      <c r="I57" s="110">
        <v>80000</v>
      </c>
      <c r="J57" s="1">
        <v>2011</v>
      </c>
      <c r="K57" s="81" t="s">
        <v>60</v>
      </c>
      <c r="L57" s="81" t="s">
        <v>369</v>
      </c>
      <c r="M57" s="7" t="s">
        <v>55</v>
      </c>
      <c r="N57" s="8"/>
      <c r="O57" s="8"/>
      <c r="P57" s="8"/>
      <c r="Q57" s="79" t="s">
        <v>370</v>
      </c>
      <c r="R57" s="78" t="s">
        <v>56</v>
      </c>
      <c r="S57" s="30">
        <v>990000</v>
      </c>
      <c r="T57" s="90">
        <f t="shared" si="1"/>
        <v>831932.77310924372</v>
      </c>
      <c r="U57" s="91">
        <f>Tabla1419[[#This Row],[NETO]]*2%</f>
        <v>16638.655462184874</v>
      </c>
      <c r="X57" s="81"/>
    </row>
    <row r="58" spans="1:24" x14ac:dyDescent="0.3">
      <c r="A58" s="89">
        <v>46049</v>
      </c>
      <c r="B58" s="16">
        <v>3437</v>
      </c>
      <c r="C58" s="81" t="s">
        <v>371</v>
      </c>
      <c r="D58" s="81" t="s">
        <v>372</v>
      </c>
      <c r="E58" s="81">
        <v>976180224</v>
      </c>
      <c r="F58" s="21" t="s">
        <v>377</v>
      </c>
      <c r="G58" s="83" t="s">
        <v>373</v>
      </c>
      <c r="H58" s="49" t="s">
        <v>374</v>
      </c>
      <c r="I58" s="110">
        <v>38000</v>
      </c>
      <c r="J58" s="1">
        <v>2023</v>
      </c>
      <c r="K58" s="81" t="s">
        <v>52</v>
      </c>
      <c r="L58" s="81" t="s">
        <v>375</v>
      </c>
      <c r="M58" s="7"/>
      <c r="N58" s="8"/>
      <c r="O58" s="8"/>
      <c r="P58" s="8" t="s">
        <v>55</v>
      </c>
      <c r="Q58" s="79" t="s">
        <v>376</v>
      </c>
      <c r="R58" s="78" t="s">
        <v>63</v>
      </c>
      <c r="S58" s="30">
        <v>175000</v>
      </c>
      <c r="T58" s="90">
        <f t="shared" si="1"/>
        <v>147058.82352941178</v>
      </c>
      <c r="U58" s="91">
        <f>Tabla1419[[#This Row],[NETO]]*2%</f>
        <v>2941.1764705882356</v>
      </c>
      <c r="X58" s="81"/>
    </row>
    <row r="59" spans="1:24" x14ac:dyDescent="0.3">
      <c r="A59" s="89">
        <v>46050</v>
      </c>
      <c r="B59" s="16">
        <v>3438</v>
      </c>
      <c r="C59" s="81" t="s">
        <v>386</v>
      </c>
      <c r="D59" s="81" t="s">
        <v>387</v>
      </c>
      <c r="E59" s="81">
        <v>991387584</v>
      </c>
      <c r="F59" s="21" t="s">
        <v>388</v>
      </c>
      <c r="G59" s="83" t="s">
        <v>76</v>
      </c>
      <c r="H59" s="49" t="s">
        <v>378</v>
      </c>
      <c r="I59" s="110">
        <v>2700</v>
      </c>
      <c r="J59" s="1">
        <v>2026</v>
      </c>
      <c r="K59" s="81" t="s">
        <v>69</v>
      </c>
      <c r="M59" s="7" t="s">
        <v>55</v>
      </c>
      <c r="N59" s="8"/>
      <c r="O59" s="8"/>
      <c r="P59" s="8"/>
      <c r="Q59" s="79" t="s">
        <v>379</v>
      </c>
      <c r="R59" s="78" t="s">
        <v>56</v>
      </c>
      <c r="S59" s="30">
        <v>299900</v>
      </c>
      <c r="T59" s="90">
        <f t="shared" si="1"/>
        <v>252016.8067226891</v>
      </c>
      <c r="U59" s="91">
        <f>Tabla1419[[#This Row],[NETO]]*2%</f>
        <v>5040.3361344537825</v>
      </c>
      <c r="X59" s="81"/>
    </row>
    <row r="60" spans="1:24" x14ac:dyDescent="0.3">
      <c r="A60" s="89">
        <v>46050</v>
      </c>
      <c r="B60" s="16">
        <v>3439</v>
      </c>
      <c r="C60" s="81" t="s">
        <v>381</v>
      </c>
      <c r="D60" s="81" t="s">
        <v>382</v>
      </c>
      <c r="E60" s="81">
        <v>992300149</v>
      </c>
      <c r="F60" s="21" t="s">
        <v>390</v>
      </c>
      <c r="G60" s="83" t="s">
        <v>50</v>
      </c>
      <c r="H60" s="49" t="s">
        <v>391</v>
      </c>
      <c r="I60" s="110">
        <v>12629</v>
      </c>
      <c r="J60" s="1">
        <v>2025</v>
      </c>
      <c r="K60" s="81" t="s">
        <v>69</v>
      </c>
      <c r="L60" s="81" t="s">
        <v>383</v>
      </c>
      <c r="M60" s="7"/>
      <c r="N60" s="8"/>
      <c r="O60" s="8"/>
      <c r="P60" s="8"/>
      <c r="Q60" s="79" t="s">
        <v>389</v>
      </c>
      <c r="R60" s="78" t="s">
        <v>63</v>
      </c>
      <c r="S60" s="30">
        <v>1750000</v>
      </c>
      <c r="T60" s="90">
        <f t="shared" si="1"/>
        <v>1470588.2352941178</v>
      </c>
      <c r="U60" s="91">
        <f>Tabla1419[[#This Row],[NETO]]*2%</f>
        <v>29411.764705882357</v>
      </c>
      <c r="X60" s="81"/>
    </row>
    <row r="61" spans="1:24" x14ac:dyDescent="0.3">
      <c r="A61" s="89">
        <v>46050</v>
      </c>
      <c r="B61" s="16">
        <v>3440</v>
      </c>
      <c r="C61" s="81" t="s">
        <v>392</v>
      </c>
      <c r="D61" s="81" t="s">
        <v>393</v>
      </c>
      <c r="E61" s="81">
        <v>976118732</v>
      </c>
      <c r="F61" s="21" t="s">
        <v>394</v>
      </c>
      <c r="G61" s="83" t="s">
        <v>83</v>
      </c>
      <c r="H61" s="49" t="s">
        <v>384</v>
      </c>
      <c r="I61" s="110">
        <v>65000</v>
      </c>
      <c r="J61" s="1">
        <v>2020</v>
      </c>
      <c r="K61" s="81" t="s">
        <v>52</v>
      </c>
      <c r="L61" s="81" t="s">
        <v>385</v>
      </c>
      <c r="M61" s="7" t="s">
        <v>55</v>
      </c>
      <c r="N61" s="8"/>
      <c r="O61" s="8"/>
      <c r="P61" s="8"/>
      <c r="Q61" s="79" t="s">
        <v>311</v>
      </c>
      <c r="R61" s="78" t="s">
        <v>56</v>
      </c>
      <c r="S61" s="30">
        <v>449900</v>
      </c>
      <c r="T61" s="90">
        <f t="shared" si="1"/>
        <v>378067.22689075634</v>
      </c>
      <c r="U61" s="91">
        <f>Tabla1419[[#This Row],[NETO]]*2%</f>
        <v>7561.3445378151273</v>
      </c>
      <c r="X61" s="81"/>
    </row>
    <row r="62" spans="1:24" x14ac:dyDescent="0.3">
      <c r="A62" s="89">
        <v>46051</v>
      </c>
      <c r="B62" s="16">
        <v>3441</v>
      </c>
      <c r="C62" s="81" t="s">
        <v>395</v>
      </c>
      <c r="D62" s="81" t="s">
        <v>396</v>
      </c>
      <c r="E62" s="81">
        <v>985740619</v>
      </c>
      <c r="F62" s="21" t="s">
        <v>397</v>
      </c>
      <c r="G62" s="83" t="s">
        <v>160</v>
      </c>
      <c r="H62" s="49" t="s">
        <v>398</v>
      </c>
      <c r="I62" s="110">
        <v>1300</v>
      </c>
      <c r="J62" s="1">
        <v>2026</v>
      </c>
      <c r="K62" s="81" t="s">
        <v>399</v>
      </c>
      <c r="L62" s="81" t="s">
        <v>400</v>
      </c>
      <c r="M62" s="7" t="s">
        <v>55</v>
      </c>
      <c r="N62" s="8"/>
      <c r="O62" s="8"/>
      <c r="P62" s="8"/>
      <c r="Q62" s="79" t="s">
        <v>401</v>
      </c>
      <c r="R62" s="78" t="s">
        <v>56</v>
      </c>
      <c r="S62" s="30">
        <v>499900</v>
      </c>
      <c r="T62" s="90">
        <f t="shared" si="1"/>
        <v>420084.03361344541</v>
      </c>
      <c r="U62" s="91">
        <f>Tabla1419[[#This Row],[NETO]]*2%</f>
        <v>8401.6806722689089</v>
      </c>
      <c r="X62" s="81"/>
    </row>
    <row r="63" spans="1:24" x14ac:dyDescent="0.3">
      <c r="A63" s="89">
        <v>46051</v>
      </c>
      <c r="B63" s="16">
        <v>3442</v>
      </c>
      <c r="C63" s="81" t="s">
        <v>402</v>
      </c>
      <c r="D63" s="81" t="s">
        <v>403</v>
      </c>
      <c r="E63" s="81">
        <v>989494179</v>
      </c>
      <c r="F63" s="21" t="s">
        <v>404</v>
      </c>
      <c r="G63" s="83" t="s">
        <v>112</v>
      </c>
      <c r="H63" s="49" t="s">
        <v>113</v>
      </c>
      <c r="I63" s="110">
        <v>56000</v>
      </c>
      <c r="J63" s="1">
        <v>2022</v>
      </c>
      <c r="K63" s="81" t="s">
        <v>99</v>
      </c>
      <c r="L63" s="81" t="s">
        <v>405</v>
      </c>
      <c r="M63" s="7"/>
      <c r="N63" s="8"/>
      <c r="O63" s="8"/>
      <c r="P63" s="8" t="s">
        <v>55</v>
      </c>
      <c r="Q63" s="79" t="s">
        <v>406</v>
      </c>
      <c r="R63" s="78" t="s">
        <v>56</v>
      </c>
      <c r="S63" s="30">
        <v>150000</v>
      </c>
      <c r="T63" s="90">
        <f t="shared" si="1"/>
        <v>126050.42016806723</v>
      </c>
      <c r="U63" s="91">
        <f>Tabla1419[[#This Row],[NETO]]*2%</f>
        <v>2521.0084033613448</v>
      </c>
      <c r="X63" s="81"/>
    </row>
    <row r="64" spans="1:24" x14ac:dyDescent="0.3">
      <c r="A64" s="89">
        <v>46051</v>
      </c>
      <c r="B64" s="16">
        <v>3443</v>
      </c>
      <c r="C64" s="81" t="s">
        <v>411</v>
      </c>
      <c r="D64" s="81" t="s">
        <v>412</v>
      </c>
      <c r="E64" s="81">
        <v>967776315</v>
      </c>
      <c r="G64" s="83" t="s">
        <v>140</v>
      </c>
      <c r="H64" s="49" t="s">
        <v>141</v>
      </c>
      <c r="I64" s="110">
        <v>144000</v>
      </c>
      <c r="J64" s="1">
        <v>2014</v>
      </c>
      <c r="K64" s="81" t="s">
        <v>92</v>
      </c>
      <c r="L64" s="81" t="s">
        <v>409</v>
      </c>
      <c r="M64" s="7"/>
      <c r="N64" s="8"/>
      <c r="O64" s="8"/>
      <c r="P64" s="8" t="s">
        <v>55</v>
      </c>
      <c r="Q64" s="79" t="s">
        <v>407</v>
      </c>
      <c r="R64" s="78" t="s">
        <v>63</v>
      </c>
      <c r="S64" s="30">
        <v>40000</v>
      </c>
      <c r="T64" s="90">
        <f t="shared" si="1"/>
        <v>33613.445378151264</v>
      </c>
      <c r="U64" s="91">
        <f>Tabla1419[[#This Row],[NETO]]*2%</f>
        <v>672.26890756302532</v>
      </c>
      <c r="X64" s="81"/>
    </row>
    <row r="65" spans="1:24" x14ac:dyDescent="0.3">
      <c r="A65" s="89">
        <v>46051</v>
      </c>
      <c r="B65" s="16">
        <v>3444</v>
      </c>
      <c r="C65" s="81" t="s">
        <v>408</v>
      </c>
      <c r="D65" s="81" t="s">
        <v>408</v>
      </c>
      <c r="E65" s="81" t="s">
        <v>408</v>
      </c>
      <c r="F65" s="81" t="s">
        <v>408</v>
      </c>
      <c r="G65" s="83" t="s">
        <v>83</v>
      </c>
      <c r="H65" s="49" t="s">
        <v>380</v>
      </c>
      <c r="I65" s="110">
        <v>26000</v>
      </c>
      <c r="J65" s="1">
        <v>2023</v>
      </c>
      <c r="K65" s="81" t="s">
        <v>69</v>
      </c>
      <c r="L65" s="81" t="s">
        <v>187</v>
      </c>
      <c r="M65" s="7"/>
      <c r="N65" s="8"/>
      <c r="O65" s="8"/>
      <c r="P65" s="8" t="s">
        <v>55</v>
      </c>
      <c r="Q65" s="79" t="s">
        <v>407</v>
      </c>
      <c r="R65" s="78" t="s">
        <v>63</v>
      </c>
      <c r="S65" s="30">
        <v>0</v>
      </c>
      <c r="T65" s="90">
        <f t="shared" si="1"/>
        <v>0</v>
      </c>
      <c r="U65" s="91">
        <f>Tabla1419[[#This Row],[NETO]]*2%</f>
        <v>0</v>
      </c>
      <c r="X65" s="81"/>
    </row>
    <row r="66" spans="1:24" x14ac:dyDescent="0.3">
      <c r="A66" s="89">
        <v>46051</v>
      </c>
      <c r="B66" s="16">
        <v>3445</v>
      </c>
      <c r="C66" s="81" t="s">
        <v>413</v>
      </c>
      <c r="D66" s="81" t="s">
        <v>414</v>
      </c>
      <c r="E66" s="81">
        <v>940645875</v>
      </c>
      <c r="F66" s="21" t="s">
        <v>415</v>
      </c>
      <c r="G66" s="83" t="s">
        <v>50</v>
      </c>
      <c r="H66" s="49" t="s">
        <v>416</v>
      </c>
      <c r="I66" s="110">
        <v>126000</v>
      </c>
      <c r="J66" s="1">
        <v>2016</v>
      </c>
      <c r="K66" s="81" t="s">
        <v>60</v>
      </c>
      <c r="L66" s="81" t="s">
        <v>417</v>
      </c>
      <c r="M66" s="7" t="s">
        <v>55</v>
      </c>
      <c r="N66" s="8"/>
      <c r="O66" s="8"/>
      <c r="P66" s="8"/>
      <c r="Q66" s="79" t="s">
        <v>418</v>
      </c>
      <c r="R66" s="78" t="s">
        <v>56</v>
      </c>
      <c r="S66" s="30">
        <v>1359700</v>
      </c>
      <c r="T66" s="90">
        <f t="shared" si="1"/>
        <v>1142605.0420168068</v>
      </c>
      <c r="U66" s="91">
        <f>Tabla1419[[#This Row],[NETO]]*2%</f>
        <v>22852.100840336137</v>
      </c>
      <c r="X66" s="81"/>
    </row>
    <row r="67" spans="1:24" x14ac:dyDescent="0.3">
      <c r="A67" s="89">
        <v>46051</v>
      </c>
      <c r="B67" s="16">
        <v>3446</v>
      </c>
      <c r="C67" s="81" t="s">
        <v>408</v>
      </c>
      <c r="D67" s="81" t="s">
        <v>408</v>
      </c>
      <c r="E67" s="81" t="s">
        <v>408</v>
      </c>
      <c r="F67" s="81" t="s">
        <v>408</v>
      </c>
      <c r="G67" s="83" t="s">
        <v>83</v>
      </c>
      <c r="H67" s="49" t="s">
        <v>419</v>
      </c>
      <c r="I67" s="110">
        <v>80000</v>
      </c>
      <c r="J67" s="1">
        <v>2016</v>
      </c>
      <c r="K67" s="81" t="s">
        <v>114</v>
      </c>
      <c r="L67" s="81" t="s">
        <v>420</v>
      </c>
      <c r="M67" s="7"/>
      <c r="N67" s="8"/>
      <c r="O67" s="8"/>
      <c r="P67" s="8" t="s">
        <v>55</v>
      </c>
      <c r="Q67" s="79" t="s">
        <v>421</v>
      </c>
      <c r="R67" s="78" t="s">
        <v>63</v>
      </c>
      <c r="S67" s="30">
        <v>300000</v>
      </c>
      <c r="T67" s="90">
        <f t="shared" si="1"/>
        <v>252100.84033613445</v>
      </c>
      <c r="U67" s="91">
        <f>Tabla1419[[#This Row],[NETO]]*2%</f>
        <v>5042.0168067226896</v>
      </c>
      <c r="X67" s="81"/>
    </row>
    <row r="68" spans="1:24" x14ac:dyDescent="0.3">
      <c r="A68" s="89">
        <v>46052</v>
      </c>
      <c r="B68" s="16">
        <v>3447</v>
      </c>
      <c r="C68" s="81" t="s">
        <v>422</v>
      </c>
      <c r="D68" s="81" t="s">
        <v>423</v>
      </c>
      <c r="E68" s="81">
        <v>955318468</v>
      </c>
      <c r="F68" s="21" t="s">
        <v>424</v>
      </c>
      <c r="G68" s="83" t="s">
        <v>58</v>
      </c>
      <c r="H68" s="49" t="s">
        <v>121</v>
      </c>
      <c r="I68" s="110">
        <v>98000</v>
      </c>
      <c r="J68" s="1">
        <v>2017</v>
      </c>
      <c r="K68" s="81" t="s">
        <v>52</v>
      </c>
      <c r="L68" s="81" t="s">
        <v>425</v>
      </c>
      <c r="M68" s="7"/>
      <c r="N68" s="8"/>
      <c r="O68" s="8"/>
      <c r="P68" s="8" t="s">
        <v>55</v>
      </c>
      <c r="Q68" s="79" t="s">
        <v>426</v>
      </c>
      <c r="R68" s="78" t="s">
        <v>56</v>
      </c>
      <c r="S68" s="30">
        <v>450000</v>
      </c>
      <c r="T68" s="90">
        <f t="shared" si="1"/>
        <v>378151.26050420169</v>
      </c>
      <c r="U68" s="91">
        <f>Tabla1419[[#This Row],[NETO]]*2%</f>
        <v>7563.0252100840344</v>
      </c>
      <c r="X68" s="81"/>
    </row>
    <row r="69" spans="1:24" x14ac:dyDescent="0.3">
      <c r="A69" s="89">
        <v>46052</v>
      </c>
      <c r="B69" s="16">
        <v>3448</v>
      </c>
      <c r="C69" s="81" t="s">
        <v>427</v>
      </c>
      <c r="D69" s="81" t="s">
        <v>428</v>
      </c>
      <c r="E69" s="81">
        <v>991250461</v>
      </c>
      <c r="F69" s="21" t="s">
        <v>429</v>
      </c>
      <c r="G69" s="83" t="s">
        <v>160</v>
      </c>
      <c r="H69" s="49" t="s">
        <v>398</v>
      </c>
      <c r="I69" s="110">
        <v>6000</v>
      </c>
      <c r="J69" s="1">
        <v>2026</v>
      </c>
      <c r="K69" s="81" t="s">
        <v>69</v>
      </c>
      <c r="L69" s="81" t="s">
        <v>430</v>
      </c>
      <c r="M69" s="7" t="s">
        <v>55</v>
      </c>
      <c r="N69" s="8"/>
      <c r="O69" s="8"/>
      <c r="P69" s="8"/>
      <c r="Q69" s="79" t="s">
        <v>431</v>
      </c>
      <c r="R69" s="78" t="s">
        <v>56</v>
      </c>
      <c r="S69" s="30">
        <v>1099900</v>
      </c>
      <c r="T69" s="90">
        <f t="shared" si="1"/>
        <v>924285.71428571432</v>
      </c>
      <c r="U69" s="91">
        <f>Tabla1419[[#This Row],[NETO]]*2%</f>
        <v>18485.714285714286</v>
      </c>
      <c r="X69" s="81"/>
    </row>
    <row r="70" spans="1:24" x14ac:dyDescent="0.3">
      <c r="A70" s="89"/>
      <c r="B70" s="16"/>
      <c r="G70" s="83"/>
      <c r="H70" s="49"/>
      <c r="I70" s="110"/>
      <c r="J70" s="1"/>
      <c r="M70" s="7"/>
      <c r="N70" s="8"/>
      <c r="O70" s="8"/>
      <c r="P70" s="8"/>
      <c r="Q70" s="79"/>
      <c r="R70" s="78"/>
      <c r="S70" s="30"/>
      <c r="T70" s="90">
        <f t="shared" si="1"/>
        <v>0</v>
      </c>
      <c r="U70" s="91">
        <f>Tabla1419[[#This Row],[NETO]]*2%</f>
        <v>0</v>
      </c>
      <c r="X70" s="81"/>
    </row>
    <row r="71" spans="1:24" x14ac:dyDescent="0.3">
      <c r="A71" s="89"/>
      <c r="B71" s="16"/>
      <c r="G71" s="83"/>
      <c r="H71" s="49"/>
      <c r="I71" s="110"/>
      <c r="J71" s="1"/>
      <c r="M71" s="7"/>
      <c r="N71" s="8"/>
      <c r="O71" s="8"/>
      <c r="P71" s="8"/>
      <c r="Q71" s="79"/>
      <c r="R71" s="78"/>
      <c r="S71" s="30"/>
      <c r="T71" s="90">
        <f t="shared" si="1"/>
        <v>0</v>
      </c>
      <c r="U71" s="91">
        <f>Tabla1419[[#This Row],[NETO]]*2%</f>
        <v>0</v>
      </c>
      <c r="X71" s="81"/>
    </row>
    <row r="72" spans="1:24" x14ac:dyDescent="0.3">
      <c r="A72" s="89"/>
      <c r="B72" s="16"/>
      <c r="G72" s="83"/>
      <c r="H72" s="49"/>
      <c r="I72" s="110"/>
      <c r="J72" s="1"/>
      <c r="M72" s="7"/>
      <c r="N72" s="8"/>
      <c r="O72" s="8"/>
      <c r="P72" s="8"/>
      <c r="Q72" s="79"/>
      <c r="R72" s="78"/>
      <c r="S72" s="30"/>
      <c r="T72" s="90">
        <f t="shared" si="1"/>
        <v>0</v>
      </c>
      <c r="U72" s="91">
        <f>Tabla1419[[#This Row],[NETO]]*2%</f>
        <v>0</v>
      </c>
      <c r="X72" s="81"/>
    </row>
    <row r="73" spans="1:24" x14ac:dyDescent="0.3">
      <c r="A73" s="89"/>
      <c r="B73" s="16"/>
      <c r="G73" s="83"/>
      <c r="H73" s="49"/>
      <c r="I73" s="110"/>
      <c r="J73" s="1"/>
      <c r="M73" s="7"/>
      <c r="N73" s="8"/>
      <c r="O73" s="8"/>
      <c r="P73" s="8"/>
      <c r="Q73" s="79"/>
      <c r="R73" s="78"/>
      <c r="S73" s="30"/>
      <c r="T73" s="90">
        <f t="shared" si="1"/>
        <v>0</v>
      </c>
      <c r="U73" s="91">
        <f>Tabla1419[[#This Row],[NETO]]*2%</f>
        <v>0</v>
      </c>
      <c r="X73" s="81"/>
    </row>
    <row r="74" spans="1:24" x14ac:dyDescent="0.3">
      <c r="A74" s="89"/>
      <c r="B74" s="16"/>
      <c r="G74" s="83"/>
      <c r="H74" s="49"/>
      <c r="I74" s="110"/>
      <c r="J74" s="1"/>
      <c r="M74" s="7"/>
      <c r="N74" s="8"/>
      <c r="O74" s="8"/>
      <c r="P74" s="8"/>
      <c r="Q74" s="79"/>
      <c r="R74" s="78"/>
      <c r="S74" s="30"/>
      <c r="T74" s="90">
        <f t="shared" si="1"/>
        <v>0</v>
      </c>
      <c r="U74" s="91">
        <f>Tabla1419[[#This Row],[NETO]]*2%</f>
        <v>0</v>
      </c>
      <c r="X74" s="81"/>
    </row>
    <row r="75" spans="1:24" x14ac:dyDescent="0.3">
      <c r="A75" s="89"/>
      <c r="B75" s="16"/>
      <c r="G75" s="83"/>
      <c r="H75" s="49"/>
      <c r="I75" s="110"/>
      <c r="J75" s="1"/>
      <c r="M75" s="7"/>
      <c r="N75" s="8"/>
      <c r="O75" s="8"/>
      <c r="P75" s="8"/>
      <c r="Q75" s="79"/>
      <c r="R75" s="78"/>
      <c r="S75" s="30"/>
      <c r="T75" s="90">
        <f t="shared" si="1"/>
        <v>0</v>
      </c>
      <c r="U75" s="91">
        <f>Tabla1419[[#This Row],[NETO]]*2%</f>
        <v>0</v>
      </c>
      <c r="X75" s="81"/>
    </row>
    <row r="76" spans="1:24" x14ac:dyDescent="0.3">
      <c r="A76" s="89"/>
      <c r="B76" s="16"/>
      <c r="G76" s="83"/>
      <c r="H76" s="49"/>
      <c r="I76" s="110"/>
      <c r="J76" s="1"/>
      <c r="M76" s="7"/>
      <c r="N76" s="8"/>
      <c r="O76" s="8"/>
      <c r="P76" s="8"/>
      <c r="Q76" s="79"/>
      <c r="R76" s="78"/>
      <c r="S76" s="30"/>
      <c r="T76" s="90">
        <f t="shared" si="1"/>
        <v>0</v>
      </c>
      <c r="U76" s="91">
        <f>Tabla1419[[#This Row],[NETO]]*2%</f>
        <v>0</v>
      </c>
      <c r="X76" s="81"/>
    </row>
    <row r="77" spans="1:24" ht="14.4" customHeight="1" thickBot="1" x14ac:dyDescent="0.35">
      <c r="A77" s="46" t="s">
        <v>18</v>
      </c>
      <c r="B77" s="17">
        <f>COUNT(B3:B49)</f>
        <v>47</v>
      </c>
      <c r="C77" s="22"/>
      <c r="D77" s="22"/>
      <c r="E77" s="22"/>
      <c r="F77" s="22"/>
      <c r="G77" s="93"/>
      <c r="H77" s="62"/>
      <c r="I77" s="94"/>
      <c r="J77" s="23"/>
      <c r="K77" s="95"/>
      <c r="L77" s="95"/>
      <c r="M77" s="9"/>
      <c r="N77" s="10"/>
      <c r="O77" s="10"/>
      <c r="P77" s="10"/>
      <c r="Q77" s="96"/>
      <c r="R77" s="31"/>
      <c r="S77" s="97">
        <f>SUM(S3:S76)</f>
        <v>42680000</v>
      </c>
      <c r="T77" s="97">
        <f>SUM(T3:T76)</f>
        <v>35865546.218487404</v>
      </c>
      <c r="U77" s="97">
        <f>Tabla1419[[#This Row],[NETO]]*2%+Z10</f>
        <v>725310.9243697481</v>
      </c>
      <c r="X77" s="81"/>
    </row>
    <row r="78" spans="1:24" x14ac:dyDescent="0.3">
      <c r="X78" s="81"/>
    </row>
    <row r="79" spans="1:24" x14ac:dyDescent="0.3">
      <c r="X79" s="81"/>
    </row>
    <row r="80" spans="1:24" x14ac:dyDescent="0.3">
      <c r="X80" s="81"/>
    </row>
  </sheetData>
  <mergeCells count="5">
    <mergeCell ref="AB2:AC2"/>
    <mergeCell ref="C1:F1"/>
    <mergeCell ref="G1:L1"/>
    <mergeCell ref="M1:Q1"/>
    <mergeCell ref="R1:U1"/>
  </mergeCells>
  <hyperlinks>
    <hyperlink ref="F4" r:id="rId1" xr:uid="{A0F58BF8-5FD0-4E78-B056-5DC699DD5935}"/>
    <hyperlink ref="F3" r:id="rId2" xr:uid="{C1231976-C5EA-43D8-A61F-8BEA3223300E}"/>
    <hyperlink ref="F5" r:id="rId3" xr:uid="{9A29546B-7B03-41BA-BBEE-20E2656AC05C}"/>
    <hyperlink ref="F7" r:id="rId4" xr:uid="{DCCDC560-BDD1-439A-A9C5-CEB8CCE091C5}"/>
    <hyperlink ref="F8" r:id="rId5" xr:uid="{E3F845E9-1E19-4A25-8DDC-3D9A0C8AE157}"/>
    <hyperlink ref="F9" r:id="rId6" xr:uid="{9F610374-8D74-4849-9739-D3296C0DEAF8}"/>
    <hyperlink ref="F10" r:id="rId7" xr:uid="{C9F796B6-CE98-46B1-8A7F-031BD15F47D9}"/>
    <hyperlink ref="F11" r:id="rId8" xr:uid="{2B243C23-7E7F-43CA-B222-BD6D398BC2C9}"/>
    <hyperlink ref="F12" r:id="rId9" xr:uid="{10925967-11FC-404F-B894-EC5B4FE07E2E}"/>
    <hyperlink ref="F13" r:id="rId10" xr:uid="{62CB9BC1-0103-4669-B0CF-84504B3B7910}"/>
    <hyperlink ref="F14" r:id="rId11" xr:uid="{FC79F779-467A-482C-A17B-FFF40B557F51}"/>
    <hyperlink ref="F16" r:id="rId12" xr:uid="{94B3A091-6D65-4A46-BD28-8F20BDCA9CA0}"/>
    <hyperlink ref="F15" r:id="rId13" xr:uid="{29B7F3F2-085E-4F56-B01F-AD208C5E0B90}"/>
    <hyperlink ref="F6" r:id="rId14" xr:uid="{EB5C5AD4-59EF-481D-AC79-3FC845A41C93}"/>
    <hyperlink ref="F17" r:id="rId15" xr:uid="{D7484E1B-8542-47FC-B8A2-EC2236A8D707}"/>
    <hyperlink ref="F18" r:id="rId16" xr:uid="{CEDE909A-7B00-4635-ABC4-1BC530966CC5}"/>
    <hyperlink ref="F19" r:id="rId17" xr:uid="{13C23ED8-64FB-4F8A-87EB-A8CC5DA8E51F}"/>
    <hyperlink ref="F20" r:id="rId18" xr:uid="{3BA0CD0A-3E51-43C7-9862-7BEFE9865F25}"/>
    <hyperlink ref="F23" r:id="rId19" xr:uid="{3ADC5ED7-389C-464C-8068-9F4DE2224472}"/>
    <hyperlink ref="F24" r:id="rId20" xr:uid="{1ACE6368-D2F9-43CB-B5E1-49A0B5FA06D6}"/>
    <hyperlink ref="F22" r:id="rId21" xr:uid="{F200936E-D455-45AA-B053-374279803864}"/>
    <hyperlink ref="F28" r:id="rId22" xr:uid="{6FAE491E-9DBC-4709-91D8-4C945DD58585}"/>
    <hyperlink ref="F25" r:id="rId23" xr:uid="{FCB22E9D-ABEF-4493-AAA3-A3C48CCD852B}"/>
    <hyperlink ref="F29" r:id="rId24" xr:uid="{074010CE-D8AF-4B60-8D71-C550D01E1BC7}"/>
    <hyperlink ref="F30" r:id="rId25" xr:uid="{D10B7918-9DDD-44B2-8756-7F2D4A5AF1C4}"/>
    <hyperlink ref="F31" r:id="rId26" xr:uid="{FB8468A4-F04C-4DB6-8A1C-48A3F32F870A}"/>
    <hyperlink ref="F32" r:id="rId27" xr:uid="{CE63FE60-B216-4ECD-860B-F9332BCA52AA}"/>
    <hyperlink ref="F33" r:id="rId28" xr:uid="{5C9D61F5-9B61-4EF3-BC00-20633BDD1413}"/>
    <hyperlink ref="F34" r:id="rId29" xr:uid="{36B45E11-5E9C-464C-9D04-8AFD3851A4CE}"/>
    <hyperlink ref="F35" r:id="rId30" xr:uid="{6BE4D9E9-D0D0-4FA6-B031-4CAF6F192BE2}"/>
    <hyperlink ref="F37" r:id="rId31" xr:uid="{FFB732BC-B60E-4796-B077-1DC4F9EFB3FE}"/>
    <hyperlink ref="F36" r:id="rId32" xr:uid="{6F01D59E-3CC0-483E-92FF-94D9C6715922}"/>
    <hyperlink ref="F38" r:id="rId33" xr:uid="{14A59A98-5C6F-4038-922A-CF6B2B2459A4}"/>
    <hyperlink ref="F40" r:id="rId34" xr:uid="{E64F57E9-45BC-40D3-A87E-46EF7B56A10B}"/>
    <hyperlink ref="F41" r:id="rId35" xr:uid="{C4CA89E1-6EA3-4A58-A1C6-4CCD712B2439}"/>
    <hyperlink ref="F42" r:id="rId36" xr:uid="{6B5FF30A-AAAD-4B9B-AB4A-85F8EE718742}"/>
    <hyperlink ref="F45" r:id="rId37" xr:uid="{FD9A720A-D4DF-40ED-9768-27C526E457B2}"/>
    <hyperlink ref="F47" r:id="rId38" xr:uid="{3BA8099C-71A8-4390-9353-325FD4C8A335}"/>
    <hyperlink ref="F48" r:id="rId39" xr:uid="{E02D5839-4993-4963-BED4-88169357763E}"/>
    <hyperlink ref="F43" r:id="rId40" xr:uid="{6B98A1D1-E0C3-4D9A-9FB8-2124BBD014CC}"/>
    <hyperlink ref="F44" r:id="rId41" xr:uid="{BBD95595-C119-43D3-B35E-E3F58C41317E}"/>
    <hyperlink ref="F46" r:id="rId42" xr:uid="{B41B7982-D7BE-4654-A5D7-331A7160248C}"/>
    <hyperlink ref="F39" r:id="rId43" xr:uid="{B58D1308-F3E4-4AA2-8B2B-D357F6026C03}"/>
    <hyperlink ref="F50" r:id="rId44" xr:uid="{76100709-380A-4AC5-BA10-7F9BCBBBF03D}"/>
    <hyperlink ref="F51" r:id="rId45" xr:uid="{52C6E99C-6341-4FEF-B027-B2230862EE65}"/>
    <hyperlink ref="F52" r:id="rId46" xr:uid="{AC8A8508-6831-40E0-80FC-6E4B76F51A9B}"/>
    <hyperlink ref="F54" r:id="rId47" xr:uid="{470E05B3-8237-4253-9B97-C588C72EA9F0}"/>
    <hyperlink ref="F55" r:id="rId48" xr:uid="{04F96E6D-1AB9-481A-A7D3-39968872EBB8}"/>
    <hyperlink ref="F56" r:id="rId49" xr:uid="{7EC31415-322C-4271-B3D5-9F2FFA16B49B}"/>
    <hyperlink ref="F57" r:id="rId50" xr:uid="{3939E6C0-46B1-4B4C-95ED-00A7550FF921}"/>
    <hyperlink ref="F58" r:id="rId51" xr:uid="{5111CA98-009D-4ACC-9BD2-9CF287EC8A72}"/>
    <hyperlink ref="F59" r:id="rId52" xr:uid="{72C8C1B5-67F6-442D-A904-6108633D5469}"/>
    <hyperlink ref="F60" r:id="rId53" xr:uid="{82397EA4-DDDB-4D20-AB28-8412D1302D2E}"/>
    <hyperlink ref="F61" r:id="rId54" xr:uid="{739179EC-635C-4A42-8891-5D610A497BCC}"/>
    <hyperlink ref="F62" r:id="rId55" xr:uid="{85870018-8C90-4DAF-92D4-E663585D5726}"/>
    <hyperlink ref="F63" r:id="rId56" xr:uid="{AA4DD5DA-4F10-4D31-AED8-22D8AD0444EB}"/>
    <hyperlink ref="F66" r:id="rId57" xr:uid="{EEF4C064-B28C-43AD-AE7A-51DCEA3EB580}"/>
    <hyperlink ref="F68" r:id="rId58" xr:uid="{E0B546DF-DA8D-4F63-AA63-641D7654013C}"/>
    <hyperlink ref="F69" r:id="rId59" xr:uid="{A824A607-21A6-4971-A8FA-D27CAE53AEA4}"/>
  </hyperlinks>
  <pageMargins left="0.7" right="0.7" top="0.75" bottom="0.75" header="0.3" footer="0.3"/>
  <tableParts count="2">
    <tablePart r:id="rId60"/>
    <tablePart r:id="rId6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EF11-3EAA-43A6-9ADB-9F6FD57F01C9}">
  <dimension ref="A1:Z50"/>
  <sheetViews>
    <sheetView topLeftCell="A7" zoomScale="90" zoomScaleNormal="90" workbookViewId="0">
      <selection activeCell="A32" sqref="A32"/>
    </sheetView>
  </sheetViews>
  <sheetFormatPr baseColWidth="10" defaultColWidth="10.33203125" defaultRowHeight="14.4" x14ac:dyDescent="0.3"/>
  <cols>
    <col min="1" max="1" width="11.21875" style="81" bestFit="1" customWidth="1"/>
    <col min="2" max="2" width="10.33203125" style="81"/>
    <col min="3" max="3" width="19.44140625" style="81" bestFit="1" customWidth="1"/>
    <col min="4" max="4" width="11.6640625" style="81" bestFit="1" customWidth="1"/>
    <col min="5" max="5" width="11.109375" style="81" bestFit="1" customWidth="1"/>
    <col min="6" max="18" width="10.33203125" style="81"/>
    <col min="19" max="20" width="13.33203125" style="81" bestFit="1" customWidth="1"/>
    <col min="21" max="21" width="13.109375" style="81" bestFit="1" customWidth="1"/>
    <col min="22" max="23" width="10.33203125" style="81"/>
    <col min="24" max="24" width="10.33203125" style="1"/>
    <col min="25" max="25" width="10.33203125" style="81"/>
    <col min="26" max="26" width="10.33203125" style="82"/>
    <col min="27" max="16384" width="10.33203125" style="81"/>
  </cols>
  <sheetData>
    <row r="1" spans="1:26" ht="18" x14ac:dyDescent="0.35">
      <c r="A1" s="79"/>
      <c r="B1" s="80"/>
      <c r="C1" s="120" t="s">
        <v>1</v>
      </c>
      <c r="D1" s="120"/>
      <c r="E1" s="120"/>
      <c r="F1" s="120"/>
      <c r="G1" s="121" t="s">
        <v>6</v>
      </c>
      <c r="H1" s="122"/>
      <c r="I1" s="122"/>
      <c r="J1" s="122"/>
      <c r="K1" s="123"/>
      <c r="L1" s="123"/>
      <c r="M1" s="121" t="s">
        <v>13</v>
      </c>
      <c r="N1" s="122"/>
      <c r="O1" s="122"/>
      <c r="P1" s="122"/>
      <c r="Q1" s="124"/>
      <c r="R1" s="125" t="s">
        <v>24</v>
      </c>
      <c r="S1" s="126"/>
      <c r="T1" s="126"/>
      <c r="U1" s="126"/>
      <c r="X1" s="1" t="s">
        <v>22</v>
      </c>
      <c r="Y1" s="81" t="s">
        <v>25</v>
      </c>
      <c r="Z1" s="82" t="s">
        <v>19</v>
      </c>
    </row>
    <row r="2" spans="1:26" x14ac:dyDescent="0.3">
      <c r="A2" s="79" t="s">
        <v>0</v>
      </c>
      <c r="B2" s="16" t="s">
        <v>22</v>
      </c>
      <c r="C2" s="81" t="s">
        <v>3</v>
      </c>
      <c r="D2" s="81" t="s">
        <v>2</v>
      </c>
      <c r="E2" s="81" t="s">
        <v>4</v>
      </c>
      <c r="F2" s="81" t="s">
        <v>5</v>
      </c>
      <c r="G2" s="83" t="s">
        <v>7</v>
      </c>
      <c r="H2" s="81" t="s">
        <v>8</v>
      </c>
      <c r="I2" s="84" t="s">
        <v>10</v>
      </c>
      <c r="J2" s="1" t="s">
        <v>9</v>
      </c>
      <c r="K2" s="81" t="s">
        <v>11</v>
      </c>
      <c r="L2" s="81" t="s">
        <v>12</v>
      </c>
      <c r="M2" s="7" t="s">
        <v>14</v>
      </c>
      <c r="N2" s="8" t="s">
        <v>15</v>
      </c>
      <c r="O2" s="8" t="s">
        <v>16</v>
      </c>
      <c r="P2" s="8" t="s">
        <v>17</v>
      </c>
      <c r="Q2" s="85" t="s">
        <v>21</v>
      </c>
      <c r="R2" s="24" t="s">
        <v>23</v>
      </c>
      <c r="S2" s="86" t="s">
        <v>18</v>
      </c>
      <c r="T2" s="87" t="s">
        <v>20</v>
      </c>
      <c r="U2" s="88" t="s">
        <v>19</v>
      </c>
    </row>
    <row r="3" spans="1:26" x14ac:dyDescent="0.3">
      <c r="A3" s="89">
        <v>46055</v>
      </c>
      <c r="B3" s="16">
        <v>3449</v>
      </c>
      <c r="C3" s="81" t="s">
        <v>433</v>
      </c>
      <c r="D3" s="81" t="s">
        <v>434</v>
      </c>
      <c r="E3" s="81">
        <v>998220688</v>
      </c>
      <c r="F3" s="21"/>
      <c r="G3" s="83" t="s">
        <v>160</v>
      </c>
      <c r="H3" s="49" t="s">
        <v>435</v>
      </c>
      <c r="I3" s="84">
        <v>23000</v>
      </c>
      <c r="J3" s="1">
        <v>2018</v>
      </c>
      <c r="K3" s="81" t="s">
        <v>69</v>
      </c>
      <c r="L3" s="81" t="s">
        <v>436</v>
      </c>
      <c r="M3" s="7" t="s">
        <v>55</v>
      </c>
      <c r="N3" s="8"/>
      <c r="O3" s="8"/>
      <c r="P3" s="8"/>
      <c r="Q3" s="85" t="s">
        <v>201</v>
      </c>
      <c r="R3" s="24" t="s">
        <v>63</v>
      </c>
      <c r="S3" s="86">
        <v>449900</v>
      </c>
      <c r="T3" s="90">
        <f t="shared" ref="T3:T49" si="0">S3/1.19</f>
        <v>378067.22689075634</v>
      </c>
      <c r="U3" s="91">
        <f>Tabla141921[[#This Row],[NETO]]*2%</f>
        <v>7561.3445378151273</v>
      </c>
    </row>
    <row r="4" spans="1:26" x14ac:dyDescent="0.3">
      <c r="A4" s="89">
        <v>46055</v>
      </c>
      <c r="B4" s="16">
        <v>3450</v>
      </c>
      <c r="C4" s="81" t="s">
        <v>438</v>
      </c>
      <c r="D4" s="81" t="s">
        <v>439</v>
      </c>
      <c r="E4" s="81">
        <v>956379889</v>
      </c>
      <c r="F4" s="21" t="s">
        <v>440</v>
      </c>
      <c r="G4" s="83" t="s">
        <v>76</v>
      </c>
      <c r="H4" s="49" t="s">
        <v>77</v>
      </c>
      <c r="I4" s="84">
        <v>1000</v>
      </c>
      <c r="J4" s="1">
        <v>2026</v>
      </c>
      <c r="K4" s="81" t="s">
        <v>69</v>
      </c>
      <c r="L4" s="81" t="s">
        <v>437</v>
      </c>
      <c r="M4" s="7" t="s">
        <v>55</v>
      </c>
      <c r="N4" s="8"/>
      <c r="O4" s="8"/>
      <c r="P4" s="8"/>
      <c r="Q4" s="85" t="s">
        <v>311</v>
      </c>
      <c r="R4" s="24" t="s">
        <v>63</v>
      </c>
      <c r="S4" s="86">
        <v>449900</v>
      </c>
      <c r="T4" s="90">
        <f t="shared" si="0"/>
        <v>378067.22689075634</v>
      </c>
      <c r="U4" s="91">
        <f>Tabla141921[[#This Row],[NETO]]*2%</f>
        <v>7561.3445378151273</v>
      </c>
    </row>
    <row r="5" spans="1:26" x14ac:dyDescent="0.3">
      <c r="A5" s="89">
        <v>46055</v>
      </c>
      <c r="B5" s="16">
        <v>3451</v>
      </c>
      <c r="C5" s="81" t="s">
        <v>446</v>
      </c>
      <c r="D5" s="81" t="s">
        <v>447</v>
      </c>
      <c r="E5" s="81">
        <v>945629251</v>
      </c>
      <c r="F5" s="21" t="s">
        <v>468</v>
      </c>
      <c r="G5" s="83" t="s">
        <v>50</v>
      </c>
      <c r="H5" s="49" t="s">
        <v>448</v>
      </c>
      <c r="I5" s="110">
        <v>50000</v>
      </c>
      <c r="J5" s="1">
        <v>2018</v>
      </c>
      <c r="K5" s="81" t="s">
        <v>69</v>
      </c>
      <c r="L5" s="81" t="s">
        <v>449</v>
      </c>
      <c r="M5" s="7" t="s">
        <v>55</v>
      </c>
      <c r="N5" s="8"/>
      <c r="O5" s="8"/>
      <c r="P5" s="8"/>
      <c r="Q5" s="79" t="s">
        <v>450</v>
      </c>
      <c r="R5" s="24" t="s">
        <v>56</v>
      </c>
      <c r="S5" s="86">
        <v>389900</v>
      </c>
      <c r="T5" s="90">
        <f t="shared" si="0"/>
        <v>327647.0588235294</v>
      </c>
      <c r="U5" s="91">
        <f>Tabla141921[[#This Row],[NETO]]*2%</f>
        <v>6552.9411764705883</v>
      </c>
    </row>
    <row r="6" spans="1:26" x14ac:dyDescent="0.3">
      <c r="A6" s="89">
        <v>46055</v>
      </c>
      <c r="B6" s="16">
        <v>3452</v>
      </c>
      <c r="C6" s="81" t="s">
        <v>451</v>
      </c>
      <c r="D6" s="81" t="s">
        <v>452</v>
      </c>
      <c r="E6" s="81">
        <v>979687731</v>
      </c>
      <c r="F6" s="21" t="s">
        <v>467</v>
      </c>
      <c r="G6" s="83" t="s">
        <v>50</v>
      </c>
      <c r="H6" s="49" t="s">
        <v>453</v>
      </c>
      <c r="I6" s="110">
        <v>185000</v>
      </c>
      <c r="J6" s="1">
        <v>1990</v>
      </c>
      <c r="K6" s="81" t="s">
        <v>69</v>
      </c>
      <c r="L6" s="81" t="s">
        <v>454</v>
      </c>
      <c r="M6" s="7" t="s">
        <v>55</v>
      </c>
      <c r="N6" s="8"/>
      <c r="O6" s="8"/>
      <c r="P6" s="8"/>
      <c r="Q6" s="79" t="s">
        <v>455</v>
      </c>
      <c r="R6" s="24" t="s">
        <v>63</v>
      </c>
      <c r="S6" s="86">
        <v>120000</v>
      </c>
      <c r="T6" s="90">
        <f t="shared" si="0"/>
        <v>100840.33613445378</v>
      </c>
      <c r="U6" s="91">
        <f>Tabla141921[[#This Row],[NETO]]*2%</f>
        <v>2016.8067226890757</v>
      </c>
    </row>
    <row r="7" spans="1:26" x14ac:dyDescent="0.3">
      <c r="A7" s="89">
        <v>46056</v>
      </c>
      <c r="B7" s="16">
        <v>3453</v>
      </c>
      <c r="C7" s="81" t="s">
        <v>441</v>
      </c>
      <c r="D7" s="81" t="s">
        <v>442</v>
      </c>
      <c r="E7" s="81">
        <v>944306244</v>
      </c>
      <c r="F7" s="21" t="s">
        <v>443</v>
      </c>
      <c r="G7" s="83" t="s">
        <v>58</v>
      </c>
      <c r="H7" s="49" t="s">
        <v>59</v>
      </c>
      <c r="I7" s="84">
        <v>7600</v>
      </c>
      <c r="J7" s="1">
        <v>2025</v>
      </c>
      <c r="K7" s="81" t="s">
        <v>60</v>
      </c>
      <c r="L7" s="81" t="s">
        <v>444</v>
      </c>
      <c r="M7" s="7"/>
      <c r="N7" s="8"/>
      <c r="O7" s="8"/>
      <c r="P7" s="8" t="s">
        <v>55</v>
      </c>
      <c r="Q7" s="85" t="s">
        <v>445</v>
      </c>
      <c r="R7" s="24" t="s">
        <v>63</v>
      </c>
      <c r="S7" s="86">
        <v>75000</v>
      </c>
      <c r="T7" s="90">
        <f t="shared" si="0"/>
        <v>63025.210084033613</v>
      </c>
      <c r="U7" s="91">
        <f>Tabla141921[[#This Row],[NETO]]*2%</f>
        <v>1260.5042016806724</v>
      </c>
    </row>
    <row r="8" spans="1:26" x14ac:dyDescent="0.3">
      <c r="A8" s="89">
        <v>46057</v>
      </c>
      <c r="B8" s="16">
        <v>3454</v>
      </c>
      <c r="C8" s="81" t="s">
        <v>456</v>
      </c>
      <c r="D8" s="81" t="s">
        <v>457</v>
      </c>
      <c r="E8" s="81">
        <v>965729979</v>
      </c>
      <c r="F8" s="21" t="s">
        <v>458</v>
      </c>
      <c r="G8" s="83" t="s">
        <v>246</v>
      </c>
      <c r="H8" s="49" t="s">
        <v>459</v>
      </c>
      <c r="I8" s="84">
        <v>120000</v>
      </c>
      <c r="J8" s="1">
        <v>2018</v>
      </c>
      <c r="K8" s="81" t="s">
        <v>69</v>
      </c>
      <c r="L8" s="81" t="s">
        <v>460</v>
      </c>
      <c r="M8" s="7" t="s">
        <v>55</v>
      </c>
      <c r="N8" s="8"/>
      <c r="O8" s="8"/>
      <c r="P8" s="8"/>
      <c r="Q8" s="85" t="s">
        <v>469</v>
      </c>
      <c r="R8" s="24" t="s">
        <v>56</v>
      </c>
      <c r="S8" s="86">
        <v>356800</v>
      </c>
      <c r="T8" s="90">
        <f t="shared" si="0"/>
        <v>299831.93277310923</v>
      </c>
      <c r="U8" s="91">
        <f>Tabla141921[[#This Row],[NETO]]*2%</f>
        <v>5996.6386554621849</v>
      </c>
    </row>
    <row r="9" spans="1:26" x14ac:dyDescent="0.3">
      <c r="A9" s="89">
        <v>46057</v>
      </c>
      <c r="B9" s="16">
        <v>3455</v>
      </c>
      <c r="C9" s="81" t="s">
        <v>461</v>
      </c>
      <c r="D9" s="81" t="s">
        <v>462</v>
      </c>
      <c r="E9" s="81">
        <v>959016781</v>
      </c>
      <c r="F9" s="21" t="s">
        <v>463</v>
      </c>
      <c r="G9" s="83" t="s">
        <v>112</v>
      </c>
      <c r="H9" s="49" t="s">
        <v>464</v>
      </c>
      <c r="I9" s="84">
        <v>104000</v>
      </c>
      <c r="J9" s="1">
        <v>2018</v>
      </c>
      <c r="K9" s="81" t="s">
        <v>69</v>
      </c>
      <c r="L9" s="81" t="s">
        <v>465</v>
      </c>
      <c r="M9" s="7" t="s">
        <v>55</v>
      </c>
      <c r="N9" s="8"/>
      <c r="O9" s="8"/>
      <c r="P9" s="8"/>
      <c r="Q9" s="85" t="s">
        <v>466</v>
      </c>
      <c r="R9" s="24" t="s">
        <v>56</v>
      </c>
      <c r="S9" s="86">
        <v>319900</v>
      </c>
      <c r="T9" s="90">
        <f t="shared" si="0"/>
        <v>268823.5294117647</v>
      </c>
      <c r="U9" s="91">
        <f>Tabla141921[[#This Row],[NETO]]*2%</f>
        <v>5376.4705882352937</v>
      </c>
    </row>
    <row r="10" spans="1:26" x14ac:dyDescent="0.3">
      <c r="A10" s="89">
        <v>46057</v>
      </c>
      <c r="B10" s="16">
        <v>3456</v>
      </c>
      <c r="C10" s="81" t="s">
        <v>472</v>
      </c>
      <c r="D10" s="81" t="s">
        <v>473</v>
      </c>
      <c r="E10" s="81">
        <v>961916599</v>
      </c>
      <c r="F10" s="21" t="s">
        <v>474</v>
      </c>
      <c r="G10" s="83" t="s">
        <v>58</v>
      </c>
      <c r="H10" s="49" t="s">
        <v>470</v>
      </c>
      <c r="I10" s="84">
        <v>281606</v>
      </c>
      <c r="J10" s="1">
        <v>2012</v>
      </c>
      <c r="K10" s="81" t="s">
        <v>52</v>
      </c>
      <c r="L10" s="81" t="s">
        <v>471</v>
      </c>
      <c r="M10" s="7" t="s">
        <v>55</v>
      </c>
      <c r="N10" s="8"/>
      <c r="O10" s="8"/>
      <c r="P10" s="8"/>
      <c r="Q10" s="85" t="s">
        <v>455</v>
      </c>
      <c r="R10" s="24" t="s">
        <v>63</v>
      </c>
      <c r="S10" s="86">
        <v>60000</v>
      </c>
      <c r="T10" s="90">
        <f t="shared" si="0"/>
        <v>50420.168067226892</v>
      </c>
      <c r="U10" s="91">
        <f>Tabla141921[[#This Row],[NETO]]*2%</f>
        <v>1008.4033613445379</v>
      </c>
      <c r="Z10" s="82">
        <f>SUM(Z2:Z9)</f>
        <v>0</v>
      </c>
    </row>
    <row r="11" spans="1:26" x14ac:dyDescent="0.3">
      <c r="A11" s="89">
        <v>46057</v>
      </c>
      <c r="B11" s="16">
        <v>3457</v>
      </c>
      <c r="C11" s="81" t="s">
        <v>475</v>
      </c>
      <c r="D11" s="81" t="s">
        <v>476</v>
      </c>
      <c r="E11" s="81" t="s">
        <v>477</v>
      </c>
      <c r="F11" s="81" t="s">
        <v>477</v>
      </c>
      <c r="G11" s="83" t="s">
        <v>478</v>
      </c>
      <c r="H11" s="49" t="s">
        <v>478</v>
      </c>
      <c r="I11" s="84" t="s">
        <v>478</v>
      </c>
      <c r="J11" s="1">
        <v>2012</v>
      </c>
      <c r="K11" s="81" t="s">
        <v>479</v>
      </c>
      <c r="L11" s="81" t="s">
        <v>478</v>
      </c>
      <c r="M11" s="7"/>
      <c r="N11" s="8"/>
      <c r="O11" s="8"/>
      <c r="P11" s="8" t="s">
        <v>55</v>
      </c>
      <c r="Q11" s="85" t="s">
        <v>477</v>
      </c>
      <c r="R11" s="24" t="s">
        <v>63</v>
      </c>
      <c r="S11" s="86">
        <v>219900</v>
      </c>
      <c r="T11" s="90">
        <f t="shared" si="0"/>
        <v>184789.91596638656</v>
      </c>
      <c r="U11" s="91">
        <f>Tabla141921[[#This Row],[NETO]]*2%</f>
        <v>3695.7983193277314</v>
      </c>
    </row>
    <row r="12" spans="1:26" x14ac:dyDescent="0.3">
      <c r="A12" s="89">
        <v>46057</v>
      </c>
      <c r="B12" s="16">
        <v>3458</v>
      </c>
      <c r="C12" s="81" t="s">
        <v>480</v>
      </c>
      <c r="D12" s="81" t="s">
        <v>481</v>
      </c>
      <c r="E12" s="81">
        <v>954348547</v>
      </c>
      <c r="G12" s="83" t="s">
        <v>83</v>
      </c>
      <c r="H12" s="49" t="s">
        <v>143</v>
      </c>
      <c r="I12" s="84">
        <v>160000</v>
      </c>
      <c r="J12" s="1">
        <v>2019</v>
      </c>
      <c r="K12" s="81" t="s">
        <v>52</v>
      </c>
      <c r="L12" s="81" t="s">
        <v>52</v>
      </c>
      <c r="M12" s="7"/>
      <c r="N12" s="8"/>
      <c r="O12" s="8"/>
      <c r="P12" s="8" t="s">
        <v>55</v>
      </c>
      <c r="Q12" s="85" t="s">
        <v>482</v>
      </c>
      <c r="R12" s="24" t="s">
        <v>63</v>
      </c>
      <c r="S12" s="86">
        <v>45000</v>
      </c>
      <c r="T12" s="90">
        <f t="shared" si="0"/>
        <v>37815.126050420171</v>
      </c>
      <c r="U12" s="91">
        <f>Tabla141921[[#This Row],[NETO]]*2%</f>
        <v>756.30252100840346</v>
      </c>
    </row>
    <row r="13" spans="1:26" x14ac:dyDescent="0.3">
      <c r="A13" s="89">
        <v>46057</v>
      </c>
      <c r="B13" s="16">
        <v>3459</v>
      </c>
      <c r="C13" s="81" t="s">
        <v>484</v>
      </c>
      <c r="D13" s="81" t="s">
        <v>483</v>
      </c>
      <c r="E13" s="81">
        <v>967271587</v>
      </c>
      <c r="F13" s="21" t="s">
        <v>486</v>
      </c>
      <c r="G13" s="83" t="s">
        <v>76</v>
      </c>
      <c r="H13" s="49" t="s">
        <v>77</v>
      </c>
      <c r="I13" s="84">
        <v>218802</v>
      </c>
      <c r="J13" s="1">
        <v>2012</v>
      </c>
      <c r="K13" s="81" t="s">
        <v>114</v>
      </c>
      <c r="L13" s="81" t="s">
        <v>485</v>
      </c>
      <c r="M13" s="7"/>
      <c r="N13" s="8" t="s">
        <v>55</v>
      </c>
      <c r="O13" s="8"/>
      <c r="P13" s="8"/>
      <c r="Q13" s="85" t="s">
        <v>487</v>
      </c>
      <c r="R13" s="24" t="s">
        <v>63</v>
      </c>
      <c r="S13" s="86">
        <v>499900</v>
      </c>
      <c r="T13" s="90">
        <f t="shared" si="0"/>
        <v>420084.03361344541</v>
      </c>
      <c r="U13" s="91">
        <f>Tabla141921[[#This Row],[NETO]]*2%</f>
        <v>8401.6806722689089</v>
      </c>
    </row>
    <row r="14" spans="1:26" x14ac:dyDescent="0.3">
      <c r="A14" s="89">
        <v>46058</v>
      </c>
      <c r="B14" s="16">
        <v>3460</v>
      </c>
      <c r="C14" s="81" t="s">
        <v>488</v>
      </c>
      <c r="D14" s="81" t="s">
        <v>489</v>
      </c>
      <c r="E14" s="81">
        <v>948497583</v>
      </c>
      <c r="F14" s="21" t="s">
        <v>490</v>
      </c>
      <c r="G14" s="83" t="s">
        <v>491</v>
      </c>
      <c r="H14" s="49" t="s">
        <v>492</v>
      </c>
      <c r="I14" s="84">
        <v>18000</v>
      </c>
      <c r="J14" s="1">
        <v>2014</v>
      </c>
      <c r="K14" s="81" t="s">
        <v>399</v>
      </c>
      <c r="L14" s="81" t="s">
        <v>493</v>
      </c>
      <c r="M14" s="7" t="s">
        <v>55</v>
      </c>
      <c r="N14" s="8"/>
      <c r="O14" s="8"/>
      <c r="P14" s="8"/>
      <c r="Q14" s="85" t="s">
        <v>494</v>
      </c>
      <c r="R14" s="24" t="s">
        <v>56</v>
      </c>
      <c r="S14" s="86">
        <v>1299900</v>
      </c>
      <c r="T14" s="90">
        <f t="shared" si="0"/>
        <v>1092352.9411764706</v>
      </c>
      <c r="U14" s="91">
        <f>Tabla141921[[#This Row],[NETO]]*2%</f>
        <v>21847.058823529413</v>
      </c>
    </row>
    <row r="15" spans="1:26" x14ac:dyDescent="0.3">
      <c r="A15" s="89">
        <v>46059</v>
      </c>
      <c r="B15" s="16">
        <v>3461</v>
      </c>
      <c r="C15" s="81" t="s">
        <v>500</v>
      </c>
      <c r="D15" s="81" t="s">
        <v>495</v>
      </c>
      <c r="E15" s="81">
        <v>944546921</v>
      </c>
      <c r="F15" s="21" t="s">
        <v>496</v>
      </c>
      <c r="G15" s="83" t="s">
        <v>220</v>
      </c>
      <c r="H15" s="49" t="s">
        <v>497</v>
      </c>
      <c r="I15" s="84">
        <v>58000</v>
      </c>
      <c r="J15" s="1">
        <v>2021</v>
      </c>
      <c r="K15" s="81" t="s">
        <v>69</v>
      </c>
      <c r="L15" s="81" t="s">
        <v>498</v>
      </c>
      <c r="M15" s="7" t="s">
        <v>55</v>
      </c>
      <c r="N15" s="8"/>
      <c r="O15" s="8"/>
      <c r="P15" s="8"/>
      <c r="Q15" s="85" t="s">
        <v>499</v>
      </c>
      <c r="R15" s="24" t="s">
        <v>56</v>
      </c>
      <c r="S15" s="30">
        <v>1709700</v>
      </c>
      <c r="T15" s="90">
        <f t="shared" si="0"/>
        <v>1436722.6890756304</v>
      </c>
      <c r="U15" s="91">
        <f>Tabla141921[[#This Row],[NETO]]*2%</f>
        <v>28734.45378151261</v>
      </c>
    </row>
    <row r="16" spans="1:26" x14ac:dyDescent="0.3">
      <c r="A16" s="89">
        <v>46059</v>
      </c>
      <c r="B16" s="16">
        <v>3462</v>
      </c>
      <c r="C16" s="81" t="s">
        <v>502</v>
      </c>
      <c r="E16" s="81">
        <v>944062849</v>
      </c>
      <c r="G16" s="83" t="s">
        <v>76</v>
      </c>
      <c r="H16" s="49" t="s">
        <v>14</v>
      </c>
      <c r="I16" s="84">
        <v>130000</v>
      </c>
      <c r="J16" s="1">
        <v>2018</v>
      </c>
      <c r="K16" s="81" t="s">
        <v>52</v>
      </c>
      <c r="L16" s="81" t="s">
        <v>501</v>
      </c>
      <c r="M16" s="7"/>
      <c r="N16" s="8" t="s">
        <v>55</v>
      </c>
      <c r="O16" s="8"/>
      <c r="P16" s="8"/>
      <c r="Q16" s="85" t="s">
        <v>504</v>
      </c>
      <c r="R16" s="24" t="s">
        <v>56</v>
      </c>
      <c r="S16" s="30">
        <v>299900</v>
      </c>
      <c r="T16" s="90">
        <f t="shared" si="0"/>
        <v>252016.8067226891</v>
      </c>
      <c r="U16" s="91">
        <f>Tabla141921[[#This Row],[NETO]]*2%</f>
        <v>5040.3361344537825</v>
      </c>
    </row>
    <row r="17" spans="1:21" x14ac:dyDescent="0.3">
      <c r="A17" s="89">
        <v>46059</v>
      </c>
      <c r="B17" s="16">
        <v>3463</v>
      </c>
      <c r="C17" s="81" t="s">
        <v>134</v>
      </c>
      <c r="D17" s="81" t="s">
        <v>135</v>
      </c>
      <c r="E17" s="81">
        <v>998174044</v>
      </c>
      <c r="F17" s="21" t="s">
        <v>136</v>
      </c>
      <c r="G17" s="83" t="s">
        <v>197</v>
      </c>
      <c r="H17" s="49">
        <v>2500</v>
      </c>
      <c r="I17" s="84">
        <v>18000</v>
      </c>
      <c r="J17" s="1">
        <v>2023</v>
      </c>
      <c r="K17" s="81" t="s">
        <v>52</v>
      </c>
      <c r="L17" s="81" t="s">
        <v>503</v>
      </c>
      <c r="M17" s="7" t="s">
        <v>55</v>
      </c>
      <c r="N17" s="8" t="s">
        <v>55</v>
      </c>
      <c r="O17" s="8"/>
      <c r="P17" s="8"/>
      <c r="Q17" s="85" t="s">
        <v>505</v>
      </c>
      <c r="R17" s="24" t="s">
        <v>56</v>
      </c>
      <c r="S17" s="30">
        <v>7100000</v>
      </c>
      <c r="T17" s="90">
        <f t="shared" si="0"/>
        <v>5966386.5546218492</v>
      </c>
      <c r="U17" s="91">
        <f>Tabla141921[[#This Row],[NETO]]*2%</f>
        <v>119327.73109243698</v>
      </c>
    </row>
    <row r="18" spans="1:21" x14ac:dyDescent="0.3">
      <c r="A18" s="89">
        <v>46059</v>
      </c>
      <c r="B18" s="16">
        <v>3464</v>
      </c>
      <c r="C18" s="81" t="s">
        <v>484</v>
      </c>
      <c r="D18" s="81" t="s">
        <v>483</v>
      </c>
      <c r="E18" s="81">
        <v>967271587</v>
      </c>
      <c r="F18" s="21" t="s">
        <v>486</v>
      </c>
      <c r="G18" s="83" t="s">
        <v>76</v>
      </c>
      <c r="H18" s="49" t="s">
        <v>77</v>
      </c>
      <c r="I18" s="84">
        <v>218802</v>
      </c>
      <c r="J18" s="1">
        <v>2012</v>
      </c>
      <c r="K18" s="81" t="s">
        <v>114</v>
      </c>
      <c r="L18" s="81" t="s">
        <v>485</v>
      </c>
      <c r="M18" s="7" t="s">
        <v>55</v>
      </c>
      <c r="N18" s="8"/>
      <c r="O18" s="8"/>
      <c r="P18" s="8"/>
      <c r="Q18" s="85" t="s">
        <v>512</v>
      </c>
      <c r="R18" s="24" t="s">
        <v>56</v>
      </c>
      <c r="S18" s="30">
        <v>349900</v>
      </c>
      <c r="T18" s="90">
        <f t="shared" si="0"/>
        <v>294033.61344537814</v>
      </c>
      <c r="U18" s="91">
        <f>Tabla141921[[#This Row],[NETO]]*2%</f>
        <v>5880.6722689075632</v>
      </c>
    </row>
    <row r="19" spans="1:21" x14ac:dyDescent="0.3">
      <c r="A19" s="89">
        <v>46062</v>
      </c>
      <c r="B19" s="16">
        <v>3465</v>
      </c>
      <c r="C19" s="81" t="s">
        <v>506</v>
      </c>
      <c r="D19" s="81" t="s">
        <v>507</v>
      </c>
      <c r="E19" s="81">
        <v>972244655</v>
      </c>
      <c r="F19" s="21" t="s">
        <v>508</v>
      </c>
      <c r="G19" s="83" t="s">
        <v>509</v>
      </c>
      <c r="H19" s="49" t="s">
        <v>510</v>
      </c>
      <c r="I19" s="84">
        <v>81000</v>
      </c>
      <c r="J19" s="1">
        <v>2013</v>
      </c>
      <c r="K19" s="81" t="s">
        <v>52</v>
      </c>
      <c r="L19" s="81" t="s">
        <v>511</v>
      </c>
      <c r="M19" s="7"/>
      <c r="N19" s="8" t="s">
        <v>55</v>
      </c>
      <c r="O19" s="8"/>
      <c r="P19" s="8"/>
      <c r="Q19" s="85" t="s">
        <v>504</v>
      </c>
      <c r="R19" s="24" t="s">
        <v>56</v>
      </c>
      <c r="S19" s="30">
        <v>319900</v>
      </c>
      <c r="T19" s="90">
        <f t="shared" si="0"/>
        <v>268823.5294117647</v>
      </c>
      <c r="U19" s="91">
        <f>Tabla141921[[#This Row],[NETO]]*2%</f>
        <v>5376.4705882352937</v>
      </c>
    </row>
    <row r="20" spans="1:21" x14ac:dyDescent="0.3">
      <c r="A20" s="89">
        <v>46062</v>
      </c>
      <c r="B20" s="16">
        <v>3466</v>
      </c>
      <c r="C20" s="81" t="s">
        <v>519</v>
      </c>
      <c r="D20" s="81" t="s">
        <v>520</v>
      </c>
      <c r="E20" s="81">
        <v>963212823</v>
      </c>
      <c r="F20" s="21" t="s">
        <v>521</v>
      </c>
      <c r="G20" s="83" t="s">
        <v>513</v>
      </c>
      <c r="H20" s="49" t="s">
        <v>514</v>
      </c>
      <c r="I20" s="84">
        <v>30000</v>
      </c>
      <c r="J20" s="1">
        <v>2023</v>
      </c>
      <c r="K20" s="81" t="s">
        <v>52</v>
      </c>
      <c r="L20" s="81" t="s">
        <v>515</v>
      </c>
      <c r="M20" s="7" t="s">
        <v>55</v>
      </c>
      <c r="N20" s="8"/>
      <c r="O20" s="8"/>
      <c r="P20" s="8"/>
      <c r="Q20" s="85" t="s">
        <v>522</v>
      </c>
      <c r="R20" s="24" t="s">
        <v>56</v>
      </c>
      <c r="S20" s="30">
        <v>449900</v>
      </c>
      <c r="T20" s="90">
        <f t="shared" si="0"/>
        <v>378067.22689075634</v>
      </c>
      <c r="U20" s="91">
        <f>Tabla141921[[#This Row],[NETO]]*2%</f>
        <v>7561.3445378151273</v>
      </c>
    </row>
    <row r="21" spans="1:21" x14ac:dyDescent="0.3">
      <c r="A21" s="89">
        <v>46062</v>
      </c>
      <c r="B21" s="16">
        <v>3467</v>
      </c>
      <c r="C21" s="81" t="s">
        <v>518</v>
      </c>
      <c r="D21" s="81" t="s">
        <v>517</v>
      </c>
      <c r="F21" s="21"/>
      <c r="G21" s="83" t="s">
        <v>76</v>
      </c>
      <c r="H21" s="49" t="s">
        <v>77</v>
      </c>
      <c r="I21" s="84">
        <v>20000</v>
      </c>
      <c r="J21" s="1">
        <v>2023</v>
      </c>
      <c r="K21" s="81" t="s">
        <v>114</v>
      </c>
      <c r="L21" s="81" t="s">
        <v>516</v>
      </c>
      <c r="M21" s="7" t="s">
        <v>55</v>
      </c>
      <c r="N21" s="8"/>
      <c r="O21" s="8"/>
      <c r="P21" s="8"/>
      <c r="Q21" s="85" t="s">
        <v>528</v>
      </c>
      <c r="R21" s="24" t="s">
        <v>63</v>
      </c>
      <c r="S21" s="30">
        <v>1499900</v>
      </c>
      <c r="T21" s="90">
        <f t="shared" si="0"/>
        <v>1260420.1680672269</v>
      </c>
      <c r="U21" s="91">
        <f>Tabla141921[[#This Row],[NETO]]*2%</f>
        <v>25208.403361344539</v>
      </c>
    </row>
    <row r="22" spans="1:21" x14ac:dyDescent="0.3">
      <c r="A22" s="89">
        <v>46063</v>
      </c>
      <c r="B22" s="16">
        <v>3468</v>
      </c>
      <c r="C22" s="81" t="s">
        <v>523</v>
      </c>
      <c r="D22" s="81" t="s">
        <v>524</v>
      </c>
      <c r="E22" s="81">
        <v>994376132</v>
      </c>
      <c r="F22" s="21" t="s">
        <v>530</v>
      </c>
      <c r="G22" s="83" t="s">
        <v>525</v>
      </c>
      <c r="H22" s="49" t="s">
        <v>526</v>
      </c>
      <c r="I22" s="84">
        <v>34</v>
      </c>
      <c r="J22" s="1">
        <v>2026</v>
      </c>
      <c r="K22" s="81" t="s">
        <v>399</v>
      </c>
      <c r="L22" s="81" t="s">
        <v>527</v>
      </c>
      <c r="M22" s="7"/>
      <c r="N22" s="8"/>
      <c r="O22" s="8"/>
      <c r="P22" s="8" t="s">
        <v>55</v>
      </c>
      <c r="Q22" s="85" t="s">
        <v>531</v>
      </c>
      <c r="R22" s="24" t="s">
        <v>56</v>
      </c>
      <c r="S22" s="30">
        <v>1399900</v>
      </c>
      <c r="T22" s="90">
        <f t="shared" si="0"/>
        <v>1176386.5546218487</v>
      </c>
      <c r="U22" s="91">
        <f>Tabla141921[[#This Row],[NETO]]*2%</f>
        <v>23527.731092436974</v>
      </c>
    </row>
    <row r="23" spans="1:21" x14ac:dyDescent="0.3">
      <c r="A23" s="89">
        <v>46064</v>
      </c>
      <c r="B23" s="16">
        <v>3469</v>
      </c>
      <c r="C23" s="81" t="s">
        <v>64</v>
      </c>
      <c r="D23" s="81" t="s">
        <v>65</v>
      </c>
      <c r="E23" s="81">
        <v>984994702</v>
      </c>
      <c r="F23" s="21" t="s">
        <v>66</v>
      </c>
      <c r="G23" s="83" t="s">
        <v>67</v>
      </c>
      <c r="H23" s="49" t="s">
        <v>68</v>
      </c>
      <c r="I23" s="110">
        <v>8700</v>
      </c>
      <c r="J23" s="1">
        <v>2025</v>
      </c>
      <c r="K23" s="81" t="s">
        <v>69</v>
      </c>
      <c r="L23" s="81" t="s">
        <v>70</v>
      </c>
      <c r="M23" s="7"/>
      <c r="N23" s="8"/>
      <c r="O23" s="8"/>
      <c r="P23" s="8" t="s">
        <v>55</v>
      </c>
      <c r="Q23" s="85" t="s">
        <v>529</v>
      </c>
      <c r="R23" s="24" t="s">
        <v>63</v>
      </c>
      <c r="S23" s="30">
        <v>99900</v>
      </c>
      <c r="T23" s="90">
        <f t="shared" si="0"/>
        <v>83949.579831932773</v>
      </c>
      <c r="U23" s="91">
        <f>Tabla141921[[#This Row],[NETO]]*2%</f>
        <v>1678.9915966386554</v>
      </c>
    </row>
    <row r="24" spans="1:21" x14ac:dyDescent="0.3">
      <c r="A24" s="89">
        <v>46065</v>
      </c>
      <c r="B24" s="16">
        <v>3470</v>
      </c>
      <c r="C24" s="81" t="s">
        <v>532</v>
      </c>
      <c r="D24" s="81" t="s">
        <v>533</v>
      </c>
      <c r="E24" s="81">
        <v>992650008</v>
      </c>
      <c r="F24" s="21" t="s">
        <v>534</v>
      </c>
      <c r="G24" s="83" t="s">
        <v>315</v>
      </c>
      <c r="H24" s="49" t="s">
        <v>316</v>
      </c>
      <c r="I24" s="84">
        <v>22000</v>
      </c>
      <c r="J24" s="1">
        <v>2023</v>
      </c>
      <c r="K24" s="81" t="s">
        <v>52</v>
      </c>
      <c r="L24" s="81" t="s">
        <v>535</v>
      </c>
      <c r="M24" s="7" t="s">
        <v>55</v>
      </c>
      <c r="N24" s="8"/>
      <c r="O24" s="8"/>
      <c r="P24" s="8"/>
      <c r="Q24" s="85" t="s">
        <v>536</v>
      </c>
      <c r="R24" s="24" t="s">
        <v>56</v>
      </c>
      <c r="S24" s="30">
        <v>819900</v>
      </c>
      <c r="T24" s="90">
        <f t="shared" si="0"/>
        <v>688991.59663865552</v>
      </c>
      <c r="U24" s="91">
        <f>Tabla141921[[#This Row],[NETO]]*2%</f>
        <v>13779.831932773111</v>
      </c>
    </row>
    <row r="25" spans="1:21" x14ac:dyDescent="0.3">
      <c r="A25" s="89">
        <v>46065</v>
      </c>
      <c r="B25" s="16">
        <v>3471</v>
      </c>
      <c r="C25" s="81" t="s">
        <v>539</v>
      </c>
      <c r="D25" s="81" t="s">
        <v>540</v>
      </c>
      <c r="E25" s="81">
        <v>989337523</v>
      </c>
      <c r="F25" s="21" t="s">
        <v>541</v>
      </c>
      <c r="G25" s="83" t="s">
        <v>303</v>
      </c>
      <c r="H25" s="49" t="s">
        <v>194</v>
      </c>
      <c r="I25" s="84">
        <v>125000</v>
      </c>
      <c r="J25" s="1">
        <v>2019</v>
      </c>
      <c r="K25" s="81" t="s">
        <v>69</v>
      </c>
      <c r="L25" s="81" t="s">
        <v>537</v>
      </c>
      <c r="M25" s="7" t="s">
        <v>55</v>
      </c>
      <c r="N25" s="8"/>
      <c r="O25" s="8"/>
      <c r="P25" s="8"/>
      <c r="Q25" s="85" t="s">
        <v>538</v>
      </c>
      <c r="R25" s="24" t="s">
        <v>63</v>
      </c>
      <c r="S25" s="30">
        <v>150000</v>
      </c>
      <c r="T25" s="90">
        <f t="shared" si="0"/>
        <v>126050.42016806723</v>
      </c>
      <c r="U25" s="91">
        <f>Tabla141921[[#This Row],[NETO]]*2%</f>
        <v>2521.0084033613448</v>
      </c>
    </row>
    <row r="26" spans="1:21" x14ac:dyDescent="0.3">
      <c r="A26" s="89">
        <v>46065</v>
      </c>
      <c r="B26" s="16">
        <v>3472</v>
      </c>
      <c r="C26" s="81" t="s">
        <v>542</v>
      </c>
      <c r="D26" s="81" t="s">
        <v>306</v>
      </c>
      <c r="E26" s="81">
        <v>982407526</v>
      </c>
      <c r="F26" s="21"/>
      <c r="G26" s="83" t="s">
        <v>303</v>
      </c>
      <c r="H26" s="49" t="s">
        <v>194</v>
      </c>
      <c r="I26" s="84">
        <v>20000</v>
      </c>
      <c r="J26" s="1">
        <v>2025</v>
      </c>
      <c r="K26" s="81" t="s">
        <v>92</v>
      </c>
      <c r="L26" s="81" t="s">
        <v>310</v>
      </c>
      <c r="M26" s="7" t="s">
        <v>55</v>
      </c>
      <c r="N26" s="8"/>
      <c r="O26" s="8"/>
      <c r="P26" s="8"/>
      <c r="Q26" s="85" t="s">
        <v>543</v>
      </c>
      <c r="R26" s="24" t="s">
        <v>56</v>
      </c>
      <c r="S26" s="30">
        <v>599900</v>
      </c>
      <c r="T26" s="90">
        <f t="shared" si="0"/>
        <v>504117.64705882355</v>
      </c>
      <c r="U26" s="91">
        <f>Tabla141921[[#This Row],[NETO]]*2%</f>
        <v>10082.352941176472</v>
      </c>
    </row>
    <row r="27" spans="1:21" x14ac:dyDescent="0.3">
      <c r="A27" s="89">
        <v>46066</v>
      </c>
      <c r="B27" s="16">
        <v>3473</v>
      </c>
      <c r="C27" s="81" t="s">
        <v>544</v>
      </c>
      <c r="D27" s="81" t="s">
        <v>545</v>
      </c>
      <c r="E27" s="81">
        <v>959112792</v>
      </c>
      <c r="F27" s="21" t="s">
        <v>546</v>
      </c>
      <c r="G27" s="83" t="s">
        <v>547</v>
      </c>
      <c r="H27" s="49" t="s">
        <v>548</v>
      </c>
      <c r="I27" s="84">
        <v>86000</v>
      </c>
      <c r="J27" s="1">
        <v>2017</v>
      </c>
      <c r="K27" s="81" t="s">
        <v>52</v>
      </c>
      <c r="L27" s="49" t="s">
        <v>549</v>
      </c>
      <c r="M27" s="7" t="s">
        <v>55</v>
      </c>
      <c r="N27" s="8"/>
      <c r="O27" s="8"/>
      <c r="P27" s="8"/>
      <c r="Q27" s="85" t="s">
        <v>522</v>
      </c>
      <c r="R27" s="24" t="s">
        <v>56</v>
      </c>
      <c r="S27" s="30">
        <v>629900</v>
      </c>
      <c r="T27" s="90">
        <f t="shared" si="0"/>
        <v>529327.73109243705</v>
      </c>
      <c r="U27" s="91">
        <f>Tabla141921[[#This Row],[NETO]]*2%</f>
        <v>10586.554621848742</v>
      </c>
    </row>
    <row r="28" spans="1:21" x14ac:dyDescent="0.3">
      <c r="A28" s="89">
        <v>46066</v>
      </c>
      <c r="B28" s="16">
        <v>3474</v>
      </c>
      <c r="C28" s="81" t="s">
        <v>550</v>
      </c>
      <c r="E28" s="81">
        <v>950002694</v>
      </c>
      <c r="F28" s="21" t="s">
        <v>552</v>
      </c>
      <c r="G28" s="83" t="s">
        <v>220</v>
      </c>
      <c r="H28" s="49" t="s">
        <v>221</v>
      </c>
      <c r="I28" s="84">
        <v>200000</v>
      </c>
      <c r="J28" s="1">
        <v>2009</v>
      </c>
      <c r="K28" s="81" t="s">
        <v>92</v>
      </c>
      <c r="L28" s="81" t="s">
        <v>551</v>
      </c>
      <c r="M28" s="7" t="s">
        <v>55</v>
      </c>
      <c r="N28" s="8"/>
      <c r="O28" s="8"/>
      <c r="P28" s="8"/>
      <c r="Q28" s="85" t="s">
        <v>553</v>
      </c>
      <c r="R28" s="24" t="s">
        <v>56</v>
      </c>
      <c r="S28" s="30">
        <v>1050000</v>
      </c>
      <c r="T28" s="90">
        <f t="shared" si="0"/>
        <v>882352.9411764706</v>
      </c>
      <c r="U28" s="91">
        <f>Tabla141921[[#This Row],[NETO]]*2%</f>
        <v>17647.058823529413</v>
      </c>
    </row>
    <row r="29" spans="1:21" x14ac:dyDescent="0.3">
      <c r="A29" s="89">
        <v>46066</v>
      </c>
      <c r="B29" s="16">
        <v>3475</v>
      </c>
      <c r="C29" s="81" t="s">
        <v>559</v>
      </c>
      <c r="D29" s="81" t="s">
        <v>558</v>
      </c>
      <c r="E29" s="81">
        <v>990160213</v>
      </c>
      <c r="F29" s="21" t="s">
        <v>560</v>
      </c>
      <c r="G29" s="83" t="s">
        <v>554</v>
      </c>
      <c r="H29" s="49" t="s">
        <v>555</v>
      </c>
      <c r="I29" s="84">
        <v>250000</v>
      </c>
      <c r="J29" s="1">
        <v>2015</v>
      </c>
      <c r="K29" s="81" t="s">
        <v>556</v>
      </c>
      <c r="L29" s="81" t="s">
        <v>557</v>
      </c>
      <c r="M29" s="7" t="s">
        <v>55</v>
      </c>
      <c r="N29" s="8"/>
      <c r="O29" s="8"/>
      <c r="P29" s="8"/>
      <c r="Q29" s="85" t="s">
        <v>561</v>
      </c>
      <c r="R29" s="24" t="s">
        <v>63</v>
      </c>
      <c r="S29" s="30">
        <v>150000</v>
      </c>
      <c r="T29" s="90">
        <f t="shared" si="0"/>
        <v>126050.42016806723</v>
      </c>
      <c r="U29" s="91">
        <f>Tabla141921[[#This Row],[NETO]]*2%</f>
        <v>2521.0084033613448</v>
      </c>
    </row>
    <row r="30" spans="1:21" x14ac:dyDescent="0.3">
      <c r="A30" s="89">
        <v>46066</v>
      </c>
      <c r="B30" s="16">
        <v>3476</v>
      </c>
      <c r="C30" s="81" t="s">
        <v>562</v>
      </c>
      <c r="D30" s="81" t="s">
        <v>563</v>
      </c>
      <c r="E30" s="81">
        <v>951328844</v>
      </c>
      <c r="F30" s="21" t="s">
        <v>564</v>
      </c>
      <c r="G30" s="83" t="s">
        <v>246</v>
      </c>
      <c r="H30" s="49" t="s">
        <v>459</v>
      </c>
      <c r="I30" s="84">
        <v>113000</v>
      </c>
      <c r="J30" s="1">
        <v>2017</v>
      </c>
      <c r="K30" s="81" t="s">
        <v>69</v>
      </c>
      <c r="L30" s="81" t="s">
        <v>565</v>
      </c>
      <c r="M30" s="7" t="s">
        <v>55</v>
      </c>
      <c r="N30" s="8"/>
      <c r="O30" s="8"/>
      <c r="P30" s="8"/>
      <c r="Q30" s="85" t="s">
        <v>233</v>
      </c>
      <c r="R30" s="24" t="s">
        <v>56</v>
      </c>
      <c r="S30" s="30">
        <v>449900</v>
      </c>
      <c r="T30" s="90">
        <f t="shared" si="0"/>
        <v>378067.22689075634</v>
      </c>
      <c r="U30" s="91">
        <f>Tabla141921[[#This Row],[NETO]]*2%</f>
        <v>7561.3445378151273</v>
      </c>
    </row>
    <row r="31" spans="1:21" x14ac:dyDescent="0.3">
      <c r="M31" s="7"/>
      <c r="N31" s="8"/>
      <c r="O31" s="8"/>
      <c r="P31" s="8"/>
      <c r="Q31" s="85"/>
      <c r="R31" s="24"/>
      <c r="S31" s="30"/>
      <c r="T31" s="90">
        <f t="shared" si="0"/>
        <v>0</v>
      </c>
      <c r="U31" s="91">
        <f>Tabla141921[[#This Row],[NETO]]*2%</f>
        <v>0</v>
      </c>
    </row>
    <row r="32" spans="1:21" x14ac:dyDescent="0.3">
      <c r="M32" s="7"/>
      <c r="N32" s="8"/>
      <c r="O32" s="8"/>
      <c r="P32" s="8"/>
      <c r="Q32" s="85"/>
      <c r="R32" s="24"/>
      <c r="S32" s="30"/>
      <c r="T32" s="90">
        <f t="shared" si="0"/>
        <v>0</v>
      </c>
      <c r="U32" s="91">
        <f>Tabla141921[[#This Row],[NETO]]*2%</f>
        <v>0</v>
      </c>
    </row>
    <row r="33" spans="1:25" x14ac:dyDescent="0.3">
      <c r="A33" s="89"/>
      <c r="B33" s="16"/>
      <c r="F33" s="21"/>
      <c r="G33" s="83"/>
      <c r="H33" s="49"/>
      <c r="I33" s="84"/>
      <c r="J33" s="1"/>
      <c r="M33" s="7"/>
      <c r="N33" s="8"/>
      <c r="O33" s="8"/>
      <c r="P33" s="8"/>
      <c r="Q33" s="85"/>
      <c r="R33" s="24"/>
      <c r="S33" s="30"/>
      <c r="T33" s="90">
        <f t="shared" si="0"/>
        <v>0</v>
      </c>
      <c r="U33" s="91">
        <f>Tabla141921[[#This Row],[NETO]]*2%</f>
        <v>0</v>
      </c>
    </row>
    <row r="34" spans="1:25" x14ac:dyDescent="0.3">
      <c r="A34" s="89"/>
      <c r="B34" s="16"/>
      <c r="F34" s="21"/>
      <c r="G34" s="83"/>
      <c r="H34" s="49"/>
      <c r="I34" s="84"/>
      <c r="J34" s="1"/>
      <c r="M34" s="7"/>
      <c r="N34" s="8"/>
      <c r="O34" s="8"/>
      <c r="P34" s="8"/>
      <c r="Q34" s="85"/>
      <c r="R34" s="24"/>
      <c r="S34" s="30"/>
      <c r="T34" s="90">
        <f t="shared" si="0"/>
        <v>0</v>
      </c>
      <c r="U34" s="91">
        <f>Tabla141921[[#This Row],[NETO]]*2%</f>
        <v>0</v>
      </c>
    </row>
    <row r="35" spans="1:25" x14ac:dyDescent="0.3">
      <c r="A35" s="89"/>
      <c r="B35" s="16"/>
      <c r="F35" s="21"/>
      <c r="G35" s="83"/>
      <c r="H35" s="49"/>
      <c r="I35" s="84"/>
      <c r="J35" s="1"/>
      <c r="M35" s="7"/>
      <c r="N35" s="8"/>
      <c r="O35" s="8"/>
      <c r="P35" s="8"/>
      <c r="Q35" s="85"/>
      <c r="R35" s="24"/>
      <c r="S35" s="30"/>
      <c r="T35" s="90">
        <f t="shared" si="0"/>
        <v>0</v>
      </c>
      <c r="U35" s="91">
        <f>Tabla141921[[#This Row],[NETO]]*2%</f>
        <v>0</v>
      </c>
    </row>
    <row r="36" spans="1:25" x14ac:dyDescent="0.3">
      <c r="A36" s="89"/>
      <c r="B36" s="16"/>
      <c r="F36" s="21"/>
      <c r="G36" s="83"/>
      <c r="H36" s="49"/>
      <c r="I36" s="84"/>
      <c r="J36" s="1"/>
      <c r="M36" s="7"/>
      <c r="N36" s="8"/>
      <c r="O36" s="8"/>
      <c r="P36" s="8"/>
      <c r="Q36" s="85"/>
      <c r="R36" s="24"/>
      <c r="S36" s="30"/>
      <c r="T36" s="90">
        <f t="shared" si="0"/>
        <v>0</v>
      </c>
      <c r="U36" s="91">
        <f>Tabla141921[[#This Row],[NETO]]*2%</f>
        <v>0</v>
      </c>
    </row>
    <row r="37" spans="1:25" x14ac:dyDescent="0.3">
      <c r="A37" s="89"/>
      <c r="B37" s="16"/>
      <c r="F37" s="21"/>
      <c r="G37" s="83"/>
      <c r="H37" s="49"/>
      <c r="I37" s="84"/>
      <c r="J37" s="1"/>
      <c r="M37" s="7"/>
      <c r="N37" s="8"/>
      <c r="O37" s="8"/>
      <c r="P37" s="8"/>
      <c r="Q37" s="85"/>
      <c r="R37" s="24"/>
      <c r="S37" s="30"/>
      <c r="T37" s="90">
        <f t="shared" si="0"/>
        <v>0</v>
      </c>
      <c r="U37" s="91">
        <f>Tabla141921[[#This Row],[NETO]]*2%</f>
        <v>0</v>
      </c>
    </row>
    <row r="38" spans="1:25" x14ac:dyDescent="0.3">
      <c r="A38" s="89"/>
      <c r="B38" s="16"/>
      <c r="F38" s="21"/>
      <c r="G38" s="83"/>
      <c r="H38" s="49"/>
      <c r="I38" s="84"/>
      <c r="J38" s="1"/>
      <c r="M38" s="7"/>
      <c r="N38" s="8"/>
      <c r="O38" s="8"/>
      <c r="P38" s="8"/>
      <c r="Q38" s="85"/>
      <c r="R38" s="24"/>
      <c r="S38" s="30"/>
      <c r="T38" s="90">
        <f t="shared" si="0"/>
        <v>0</v>
      </c>
      <c r="U38" s="91">
        <f>Tabla141921[[#This Row],[NETO]]*2%</f>
        <v>0</v>
      </c>
    </row>
    <row r="39" spans="1:25" x14ac:dyDescent="0.3">
      <c r="A39" s="89"/>
      <c r="B39" s="16"/>
      <c r="F39" s="21"/>
      <c r="G39" s="83"/>
      <c r="H39" s="49"/>
      <c r="I39" s="84"/>
      <c r="J39" s="1"/>
      <c r="M39" s="7"/>
      <c r="N39" s="8"/>
      <c r="O39" s="8"/>
      <c r="P39" s="8"/>
      <c r="Q39" s="85"/>
      <c r="R39" s="24"/>
      <c r="S39" s="30"/>
      <c r="T39" s="90">
        <f t="shared" si="0"/>
        <v>0</v>
      </c>
      <c r="U39" s="91">
        <f>Tabla141921[[#This Row],[NETO]]*2%</f>
        <v>0</v>
      </c>
    </row>
    <row r="40" spans="1:25" x14ac:dyDescent="0.3">
      <c r="A40" s="89"/>
      <c r="B40" s="16"/>
      <c r="F40" s="21"/>
      <c r="G40" s="83"/>
      <c r="H40" s="49"/>
      <c r="I40" s="84"/>
      <c r="J40" s="1"/>
      <c r="M40" s="7"/>
      <c r="N40" s="8"/>
      <c r="O40" s="8"/>
      <c r="P40" s="8"/>
      <c r="Q40" s="85"/>
      <c r="R40" s="24"/>
      <c r="S40" s="30"/>
      <c r="T40" s="90">
        <f>S40/1.19</f>
        <v>0</v>
      </c>
      <c r="U40" s="91">
        <f>Tabla141921[[#This Row],[NETO]]*2%</f>
        <v>0</v>
      </c>
    </row>
    <row r="41" spans="1:25" x14ac:dyDescent="0.3">
      <c r="A41" s="89"/>
      <c r="B41" s="16"/>
      <c r="F41" s="21"/>
      <c r="G41" s="83"/>
      <c r="H41" s="49"/>
      <c r="I41" s="84"/>
      <c r="J41" s="1"/>
      <c r="M41" s="7"/>
      <c r="N41" s="8"/>
      <c r="O41" s="8"/>
      <c r="P41" s="8"/>
      <c r="Q41" s="85"/>
      <c r="R41" s="24"/>
      <c r="S41" s="30"/>
      <c r="T41" s="90">
        <f>S41/1.19</f>
        <v>0</v>
      </c>
      <c r="U41" s="91">
        <f>Tabla141921[[#This Row],[NETO]]*2%</f>
        <v>0</v>
      </c>
    </row>
    <row r="42" spans="1:25" x14ac:dyDescent="0.3">
      <c r="A42" s="89"/>
      <c r="B42" s="16"/>
      <c r="F42" s="21"/>
      <c r="G42" s="83"/>
      <c r="H42" s="49"/>
      <c r="I42" s="84"/>
      <c r="J42" s="1"/>
      <c r="M42" s="7"/>
      <c r="N42" s="8"/>
      <c r="O42" s="8"/>
      <c r="P42" s="8"/>
      <c r="Q42" s="85"/>
      <c r="R42" s="24"/>
      <c r="S42" s="30"/>
      <c r="T42" s="90">
        <f>S42/1.19</f>
        <v>0</v>
      </c>
      <c r="U42" s="91">
        <f>Tabla141921[[#This Row],[NETO]]*2%</f>
        <v>0</v>
      </c>
    </row>
    <row r="43" spans="1:25" x14ac:dyDescent="0.3">
      <c r="A43" s="89"/>
      <c r="B43" s="16"/>
      <c r="F43" s="21"/>
      <c r="G43" s="83"/>
      <c r="H43" s="49"/>
      <c r="I43" s="84"/>
      <c r="J43" s="1"/>
      <c r="M43" s="7"/>
      <c r="N43" s="8"/>
      <c r="O43" s="8"/>
      <c r="P43" s="8"/>
      <c r="Q43" s="85"/>
      <c r="R43" s="24"/>
      <c r="S43" s="30"/>
      <c r="T43" s="90">
        <f>S43/1.19</f>
        <v>0</v>
      </c>
      <c r="U43" s="91">
        <f>Tabla141921[[#This Row],[NETO]]*2%</f>
        <v>0</v>
      </c>
    </row>
    <row r="44" spans="1:25" x14ac:dyDescent="0.3">
      <c r="A44" s="89"/>
      <c r="B44" s="16"/>
      <c r="G44" s="83"/>
      <c r="H44" s="49"/>
      <c r="I44" s="84"/>
      <c r="J44" s="1"/>
      <c r="M44" s="7"/>
      <c r="N44" s="8"/>
      <c r="O44" s="8"/>
      <c r="P44" s="8"/>
      <c r="Q44" s="85"/>
      <c r="R44" s="24"/>
      <c r="S44" s="30"/>
      <c r="T44" s="90">
        <f>S44/1.19</f>
        <v>0</v>
      </c>
      <c r="U44" s="91">
        <f>Tabla141921[[#This Row],[NETO]]*2%</f>
        <v>0</v>
      </c>
    </row>
    <row r="45" spans="1:25" x14ac:dyDescent="0.3">
      <c r="A45" s="89"/>
      <c r="B45" s="16"/>
      <c r="F45" s="21"/>
      <c r="G45" s="83"/>
      <c r="H45" s="49"/>
      <c r="I45" s="84"/>
      <c r="J45" s="1"/>
      <c r="M45" s="7"/>
      <c r="N45" s="8"/>
      <c r="O45" s="8"/>
      <c r="P45" s="8"/>
      <c r="Q45" s="85"/>
      <c r="R45" s="24"/>
      <c r="S45" s="30"/>
      <c r="T45" s="90">
        <f t="shared" si="0"/>
        <v>0</v>
      </c>
      <c r="U45" s="91">
        <f>Tabla141921[[#This Row],[NETO]]*2%</f>
        <v>0</v>
      </c>
    </row>
    <row r="46" spans="1:25" x14ac:dyDescent="0.3">
      <c r="A46" s="89"/>
      <c r="B46" s="16"/>
      <c r="F46" s="21"/>
      <c r="G46" s="83"/>
      <c r="H46" s="49"/>
      <c r="I46" s="84"/>
      <c r="J46" s="1"/>
      <c r="M46" s="7"/>
      <c r="N46" s="8"/>
      <c r="O46" s="8"/>
      <c r="P46" s="8"/>
      <c r="Q46" s="85"/>
      <c r="R46" s="24"/>
      <c r="S46" s="30"/>
      <c r="T46" s="90">
        <f t="shared" si="0"/>
        <v>0</v>
      </c>
      <c r="U46" s="91">
        <f>Tabla141921[[#This Row],[NETO]]*2%</f>
        <v>0</v>
      </c>
    </row>
    <row r="47" spans="1:25" x14ac:dyDescent="0.3">
      <c r="A47" s="89"/>
      <c r="B47" s="16"/>
      <c r="F47" s="21"/>
      <c r="G47" s="83"/>
      <c r="H47" s="49"/>
      <c r="I47" s="84"/>
      <c r="J47" s="1"/>
      <c r="M47" s="7"/>
      <c r="N47" s="8"/>
      <c r="O47" s="8"/>
      <c r="P47" s="8"/>
      <c r="Q47" s="85"/>
      <c r="R47" s="24"/>
      <c r="S47" s="30"/>
      <c r="T47" s="90">
        <f t="shared" si="0"/>
        <v>0</v>
      </c>
      <c r="U47" s="91">
        <f>Tabla141921[[#This Row],[NETO]]*2%</f>
        <v>0</v>
      </c>
      <c r="X47" s="127"/>
      <c r="Y47" s="127"/>
    </row>
    <row r="48" spans="1:25" x14ac:dyDescent="0.3">
      <c r="A48" s="89"/>
      <c r="B48" s="16"/>
      <c r="F48" s="21"/>
      <c r="G48" s="83"/>
      <c r="H48" s="49"/>
      <c r="I48" s="84"/>
      <c r="J48" s="1"/>
      <c r="M48" s="7"/>
      <c r="N48" s="8"/>
      <c r="O48" s="8"/>
      <c r="P48" s="8"/>
      <c r="Q48" s="85"/>
      <c r="R48" s="24"/>
      <c r="S48" s="30"/>
      <c r="T48" s="90">
        <f t="shared" si="0"/>
        <v>0</v>
      </c>
      <c r="U48" s="91">
        <f>Tabla141921[[#This Row],[NETO]]*2%</f>
        <v>0</v>
      </c>
      <c r="X48" s="51"/>
      <c r="Y48" s="92"/>
    </row>
    <row r="49" spans="1:25" x14ac:dyDescent="0.3">
      <c r="A49" s="89"/>
      <c r="B49" s="16"/>
      <c r="F49" s="21"/>
      <c r="G49" s="83"/>
      <c r="H49" s="49"/>
      <c r="I49" s="84"/>
      <c r="J49" s="1"/>
      <c r="M49" s="7"/>
      <c r="N49" s="8"/>
      <c r="O49" s="8"/>
      <c r="P49" s="8"/>
      <c r="Q49" s="85"/>
      <c r="R49" s="24"/>
      <c r="S49" s="30"/>
      <c r="T49" s="90">
        <f t="shared" si="0"/>
        <v>0</v>
      </c>
      <c r="U49" s="91">
        <f>Tabla141921[[#This Row],[NETO]]*2%</f>
        <v>0</v>
      </c>
      <c r="X49" s="51"/>
      <c r="Y49" s="92"/>
    </row>
    <row r="50" spans="1:25" ht="15" thickBot="1" x14ac:dyDescent="0.35">
      <c r="A50" s="46" t="s">
        <v>18</v>
      </c>
      <c r="B50" s="17">
        <f>COUNT(B3:B49)</f>
        <v>28</v>
      </c>
      <c r="C50" s="22"/>
      <c r="D50" s="22"/>
      <c r="E50" s="22"/>
      <c r="F50" s="22"/>
      <c r="G50" s="93"/>
      <c r="H50" s="62"/>
      <c r="I50" s="94"/>
      <c r="J50" s="23"/>
      <c r="K50" s="95"/>
      <c r="L50" s="95"/>
      <c r="M50" s="9"/>
      <c r="N50" s="10"/>
      <c r="O50" s="10"/>
      <c r="P50" s="10"/>
      <c r="Q50" s="96"/>
      <c r="R50" s="31"/>
      <c r="S50" s="97">
        <f>SUM(S3:S49)</f>
        <v>21364700</v>
      </c>
      <c r="T50" s="97">
        <f>SUM(T3:T49)</f>
        <v>17953529.411764707</v>
      </c>
      <c r="U50" s="97">
        <f>Tabla141921[[#This Row],[NETO]]*2%</f>
        <v>359070.58823529416</v>
      </c>
      <c r="X50" s="51"/>
      <c r="Y50" s="92"/>
    </row>
  </sheetData>
  <mergeCells count="5">
    <mergeCell ref="C1:F1"/>
    <mergeCell ref="G1:L1"/>
    <mergeCell ref="M1:Q1"/>
    <mergeCell ref="R1:U1"/>
    <mergeCell ref="X47:Y47"/>
  </mergeCells>
  <hyperlinks>
    <hyperlink ref="F4" r:id="rId1" xr:uid="{17F12D57-EDCE-4DC2-A0EF-314A83D9251D}"/>
    <hyperlink ref="F7" r:id="rId2" xr:uid="{B3409B35-A9C6-4B84-9A56-D32AE237D5AD}"/>
    <hyperlink ref="F8" r:id="rId3" xr:uid="{3EB57771-639D-47B4-B733-1C4C5F5250FD}"/>
    <hyperlink ref="F9" r:id="rId4" xr:uid="{A43DCAD0-2F44-43CE-9A78-3CAEDAC5E9E8}"/>
    <hyperlink ref="F6" r:id="rId5" xr:uid="{9427AF06-FE39-4D8A-B924-ACE196D5DB48}"/>
    <hyperlink ref="F5" r:id="rId6" xr:uid="{242396D8-8808-4CC3-9397-CA347B533B49}"/>
    <hyperlink ref="F10" r:id="rId7" xr:uid="{0C28D8A5-4CD1-455E-906E-10BE3D1D12B3}"/>
    <hyperlink ref="F13" r:id="rId8" xr:uid="{B53A52E7-2AE9-4816-BC29-032D95DF4D33}"/>
    <hyperlink ref="F14" r:id="rId9" xr:uid="{D5040ED7-AA99-428B-AA57-371AC0974C21}"/>
    <hyperlink ref="F15" r:id="rId10" xr:uid="{1A461366-9A94-4089-B68E-1DF85158A8BE}"/>
    <hyperlink ref="F17" r:id="rId11" xr:uid="{9365B3E4-73AC-44B2-B58D-EACAA23359CF}"/>
    <hyperlink ref="F18" r:id="rId12" xr:uid="{87CCDDD0-50B2-414D-98FC-9F9BB77A48AD}"/>
    <hyperlink ref="F19" r:id="rId13" xr:uid="{1160C563-3FD3-4F60-B3F6-3D9E167E6D92}"/>
    <hyperlink ref="F20" r:id="rId14" xr:uid="{E92E9974-1FBD-4F44-82F9-CB753F90484E}"/>
    <hyperlink ref="F22" r:id="rId15" xr:uid="{8BA3303F-C955-4CFF-8BB0-6E0B46608F53}"/>
    <hyperlink ref="F23" r:id="rId16" xr:uid="{02C9EBA1-CE8C-4740-BE4B-9C6668B19AEC}"/>
    <hyperlink ref="F24" r:id="rId17" xr:uid="{81A78BD0-D5BB-4AA1-A3A4-602DFC56E159}"/>
    <hyperlink ref="F25" r:id="rId18" xr:uid="{C2CA9823-ABF2-4E19-8FF0-9A2FBAC777F1}"/>
    <hyperlink ref="F27" r:id="rId19" xr:uid="{2625E92D-7150-44D1-A8EC-8013F349D53A}"/>
    <hyperlink ref="F28" r:id="rId20" xr:uid="{8414F483-C10E-4BA2-9495-CD47B889BFDE}"/>
    <hyperlink ref="F29" r:id="rId21" xr:uid="{131DF025-8C85-4E7D-A094-5FFBC2CFAD97}"/>
    <hyperlink ref="F30" r:id="rId22" xr:uid="{B9B42023-089A-42CD-8F2E-439BDD93EB3D}"/>
  </hyperlinks>
  <pageMargins left="0.7" right="0.7" top="0.75" bottom="0.75" header="0.3" footer="0.3"/>
  <pageSetup paperSize="9" orientation="portrait" r:id="rId23"/>
  <tableParts count="2"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A319-9E96-4188-A6DF-592E392369D5}">
  <dimension ref="A1:Z50"/>
  <sheetViews>
    <sheetView topLeftCell="A11" zoomScale="70" zoomScaleNormal="70" workbookViewId="0">
      <selection activeCell="D46" sqref="D46"/>
    </sheetView>
  </sheetViews>
  <sheetFormatPr baseColWidth="10" defaultColWidth="10.33203125" defaultRowHeight="14.4" x14ac:dyDescent="0.3"/>
  <cols>
    <col min="1" max="1" width="11.21875" style="81" bestFit="1" customWidth="1"/>
    <col min="2" max="2" width="10.33203125" style="81"/>
    <col min="3" max="3" width="16.33203125" style="81" bestFit="1" customWidth="1"/>
    <col min="4" max="4" width="11.6640625" style="81" bestFit="1" customWidth="1"/>
    <col min="5" max="5" width="11.109375" style="81" bestFit="1" customWidth="1"/>
    <col min="6" max="6" width="10.33203125" style="81"/>
    <col min="7" max="7" width="11.21875" style="81" bestFit="1" customWidth="1"/>
    <col min="8" max="18" width="10.33203125" style="81"/>
    <col min="19" max="20" width="11.88671875" style="81" bestFit="1" customWidth="1"/>
    <col min="21" max="23" width="10.33203125" style="81"/>
    <col min="24" max="24" width="10.33203125" style="1"/>
    <col min="25" max="25" width="10.33203125" style="81"/>
    <col min="26" max="26" width="10.33203125" style="82"/>
    <col min="27" max="16384" width="10.33203125" style="81"/>
  </cols>
  <sheetData>
    <row r="1" spans="1:26" ht="18" x14ac:dyDescent="0.35">
      <c r="A1" s="79"/>
      <c r="B1" s="80"/>
      <c r="C1" s="120" t="s">
        <v>1</v>
      </c>
      <c r="D1" s="120"/>
      <c r="E1" s="120"/>
      <c r="F1" s="120"/>
      <c r="G1" s="121" t="s">
        <v>6</v>
      </c>
      <c r="H1" s="122"/>
      <c r="I1" s="122"/>
      <c r="J1" s="122"/>
      <c r="K1" s="123"/>
      <c r="L1" s="123"/>
      <c r="M1" s="121" t="s">
        <v>13</v>
      </c>
      <c r="N1" s="122"/>
      <c r="O1" s="122"/>
      <c r="P1" s="122"/>
      <c r="Q1" s="124"/>
      <c r="R1" s="125" t="s">
        <v>24</v>
      </c>
      <c r="S1" s="126"/>
      <c r="T1" s="126"/>
      <c r="U1" s="126"/>
      <c r="X1" s="1" t="s">
        <v>22</v>
      </c>
      <c r="Y1" s="81" t="s">
        <v>25</v>
      </c>
      <c r="Z1" s="82" t="s">
        <v>19</v>
      </c>
    </row>
    <row r="2" spans="1:26" x14ac:dyDescent="0.3">
      <c r="A2" s="79" t="s">
        <v>0</v>
      </c>
      <c r="B2" s="16" t="s">
        <v>22</v>
      </c>
      <c r="C2" s="81" t="s">
        <v>3</v>
      </c>
      <c r="D2" s="81" t="s">
        <v>2</v>
      </c>
      <c r="E2" s="81" t="s">
        <v>4</v>
      </c>
      <c r="F2" s="81" t="s">
        <v>5</v>
      </c>
      <c r="G2" s="83" t="s">
        <v>7</v>
      </c>
      <c r="H2" s="81" t="s">
        <v>8</v>
      </c>
      <c r="I2" s="84" t="s">
        <v>10</v>
      </c>
      <c r="J2" s="1" t="s">
        <v>9</v>
      </c>
      <c r="K2" s="81" t="s">
        <v>11</v>
      </c>
      <c r="L2" s="81" t="s">
        <v>12</v>
      </c>
      <c r="M2" s="7" t="s">
        <v>14</v>
      </c>
      <c r="N2" s="8" t="s">
        <v>15</v>
      </c>
      <c r="O2" s="8" t="s">
        <v>16</v>
      </c>
      <c r="P2" s="8" t="s">
        <v>17</v>
      </c>
      <c r="Q2" s="85" t="s">
        <v>21</v>
      </c>
      <c r="R2" s="24" t="s">
        <v>23</v>
      </c>
      <c r="S2" s="86" t="s">
        <v>18</v>
      </c>
      <c r="T2" s="87" t="s">
        <v>20</v>
      </c>
      <c r="U2" s="88" t="s">
        <v>19</v>
      </c>
    </row>
    <row r="3" spans="1:26" x14ac:dyDescent="0.3">
      <c r="A3" s="89"/>
      <c r="B3" s="16"/>
      <c r="F3" s="21"/>
      <c r="G3" s="83"/>
      <c r="H3" s="49"/>
      <c r="I3" s="84"/>
      <c r="J3" s="1"/>
      <c r="M3" s="7"/>
      <c r="N3" s="8"/>
      <c r="O3" s="8"/>
      <c r="P3" s="8"/>
      <c r="Q3" s="85"/>
      <c r="R3" s="24"/>
      <c r="S3" s="86"/>
      <c r="T3" s="90">
        <f t="shared" ref="T3:T49" si="0">S3/1.19</f>
        <v>0</v>
      </c>
      <c r="U3" s="91">
        <f>Tabla141923[[#This Row],[NETO]]*2%</f>
        <v>0</v>
      </c>
    </row>
    <row r="4" spans="1:26" x14ac:dyDescent="0.3">
      <c r="A4" s="89"/>
      <c r="B4" s="16"/>
      <c r="G4" s="83"/>
      <c r="H4" s="49"/>
      <c r="I4" s="84"/>
      <c r="J4" s="1"/>
      <c r="M4" s="7"/>
      <c r="N4" s="8"/>
      <c r="O4" s="8"/>
      <c r="P4" s="8"/>
      <c r="Q4" s="85"/>
      <c r="R4" s="24"/>
      <c r="S4" s="86"/>
      <c r="T4" s="90">
        <f t="shared" si="0"/>
        <v>0</v>
      </c>
      <c r="U4" s="91">
        <f>Tabla141923[[#This Row],[NETO]]*2%</f>
        <v>0</v>
      </c>
    </row>
    <row r="5" spans="1:26" x14ac:dyDescent="0.3">
      <c r="A5" s="89">
        <v>46083</v>
      </c>
      <c r="B5" s="16">
        <v>3477</v>
      </c>
      <c r="C5" s="81" t="s">
        <v>566</v>
      </c>
      <c r="D5" s="81" t="s">
        <v>567</v>
      </c>
      <c r="E5" s="81">
        <v>951705661</v>
      </c>
      <c r="F5" s="21" t="s">
        <v>568</v>
      </c>
      <c r="G5" s="83" t="s">
        <v>50</v>
      </c>
      <c r="H5" s="49" t="s">
        <v>569</v>
      </c>
      <c r="I5" s="84">
        <v>30000</v>
      </c>
      <c r="J5" s="1">
        <v>2023</v>
      </c>
      <c r="K5" s="81" t="s">
        <v>570</v>
      </c>
      <c r="L5" s="81" t="s">
        <v>571</v>
      </c>
      <c r="M5" s="7" t="s">
        <v>55</v>
      </c>
      <c r="N5" s="8"/>
      <c r="O5" s="8"/>
      <c r="P5" s="8"/>
      <c r="Q5" s="85" t="s">
        <v>577</v>
      </c>
      <c r="R5" s="24" t="s">
        <v>56</v>
      </c>
      <c r="S5" s="86">
        <v>1399900</v>
      </c>
      <c r="T5" s="90">
        <f t="shared" si="0"/>
        <v>1176386.5546218487</v>
      </c>
      <c r="U5" s="91">
        <f>Tabla141923[[#This Row],[NETO]]*2%</f>
        <v>23527.731092436974</v>
      </c>
    </row>
    <row r="6" spans="1:26" x14ac:dyDescent="0.3">
      <c r="A6" s="89">
        <v>46083</v>
      </c>
      <c r="B6" s="16">
        <v>3478</v>
      </c>
      <c r="C6" s="81" t="s">
        <v>572</v>
      </c>
      <c r="D6" s="81" t="s">
        <v>573</v>
      </c>
      <c r="E6" s="81">
        <v>992329074</v>
      </c>
      <c r="F6" s="21" t="s">
        <v>574</v>
      </c>
      <c r="G6" s="83" t="s">
        <v>303</v>
      </c>
      <c r="H6" s="49" t="s">
        <v>575</v>
      </c>
      <c r="I6" s="84">
        <v>21500</v>
      </c>
      <c r="J6" s="1">
        <v>2026</v>
      </c>
      <c r="K6" s="81" t="s">
        <v>60</v>
      </c>
      <c r="L6" s="81" t="s">
        <v>576</v>
      </c>
      <c r="M6" s="7" t="s">
        <v>55</v>
      </c>
      <c r="N6" s="8"/>
      <c r="O6" s="8"/>
      <c r="P6" s="8"/>
      <c r="Q6" s="85" t="s">
        <v>522</v>
      </c>
      <c r="R6" s="24" t="s">
        <v>63</v>
      </c>
      <c r="S6" s="86">
        <v>449900</v>
      </c>
      <c r="T6" s="90">
        <f t="shared" si="0"/>
        <v>378067.22689075634</v>
      </c>
      <c r="U6" s="91">
        <f>Tabla141923[[#This Row],[NETO]]*2%</f>
        <v>7561.3445378151273</v>
      </c>
    </row>
    <row r="7" spans="1:26" x14ac:dyDescent="0.3">
      <c r="A7" s="89"/>
      <c r="B7" s="16">
        <v>3479</v>
      </c>
      <c r="G7" s="83"/>
      <c r="H7" s="49"/>
      <c r="I7" s="84"/>
      <c r="J7" s="1"/>
      <c r="M7" s="7"/>
      <c r="N7" s="8"/>
      <c r="O7" s="8"/>
      <c r="P7" s="8"/>
      <c r="Q7" s="85"/>
      <c r="R7" s="24"/>
      <c r="S7" s="86"/>
      <c r="T7" s="90">
        <f t="shared" si="0"/>
        <v>0</v>
      </c>
      <c r="U7" s="91">
        <f>Tabla141923[[#This Row],[NETO]]*2%</f>
        <v>0</v>
      </c>
    </row>
    <row r="8" spans="1:26" x14ac:dyDescent="0.3">
      <c r="A8" s="89"/>
      <c r="B8" s="16">
        <v>3480</v>
      </c>
      <c r="F8" s="21"/>
      <c r="G8" s="83"/>
      <c r="H8" s="49"/>
      <c r="I8" s="84"/>
      <c r="J8" s="1"/>
      <c r="M8" s="7"/>
      <c r="N8" s="8"/>
      <c r="O8" s="8"/>
      <c r="P8" s="8"/>
      <c r="Q8" s="85"/>
      <c r="R8" s="24"/>
      <c r="S8" s="86"/>
      <c r="T8" s="90">
        <f t="shared" si="0"/>
        <v>0</v>
      </c>
      <c r="U8" s="91">
        <f>Tabla141923[[#This Row],[NETO]]*2%</f>
        <v>0</v>
      </c>
    </row>
    <row r="9" spans="1:26" x14ac:dyDescent="0.3">
      <c r="A9" s="89"/>
      <c r="B9" s="16">
        <v>3481</v>
      </c>
      <c r="G9" s="83"/>
      <c r="H9" s="49"/>
      <c r="I9" s="84"/>
      <c r="J9" s="1"/>
      <c r="M9" s="7"/>
      <c r="N9" s="8"/>
      <c r="O9" s="8"/>
      <c r="P9" s="8"/>
      <c r="Q9" s="85"/>
      <c r="R9" s="24"/>
      <c r="S9" s="86"/>
      <c r="T9" s="90">
        <f t="shared" si="0"/>
        <v>0</v>
      </c>
      <c r="U9" s="91">
        <f>Tabla141923[[#This Row],[NETO]]*2%</f>
        <v>0</v>
      </c>
    </row>
    <row r="10" spans="1:26" x14ac:dyDescent="0.3">
      <c r="A10" s="89"/>
      <c r="B10" s="16">
        <v>3482</v>
      </c>
      <c r="G10" s="83"/>
      <c r="H10" s="49"/>
      <c r="I10" s="84"/>
      <c r="J10" s="1"/>
      <c r="M10" s="7"/>
      <c r="N10" s="8"/>
      <c r="O10" s="8"/>
      <c r="P10" s="8"/>
      <c r="Q10" s="85"/>
      <c r="R10" s="24"/>
      <c r="S10" s="86"/>
      <c r="T10" s="90">
        <f t="shared" si="0"/>
        <v>0</v>
      </c>
      <c r="U10" s="91">
        <f>Tabla141923[[#This Row],[NETO]]*2%</f>
        <v>0</v>
      </c>
      <c r="Z10" s="82">
        <f>SUM(Z2:Z9)</f>
        <v>0</v>
      </c>
    </row>
    <row r="11" spans="1:26" x14ac:dyDescent="0.3">
      <c r="A11" s="89"/>
      <c r="B11" s="16">
        <v>3483</v>
      </c>
      <c r="F11" s="21"/>
      <c r="G11" s="83"/>
      <c r="H11" s="49"/>
      <c r="I11" s="84"/>
      <c r="J11" s="1"/>
      <c r="M11" s="7"/>
      <c r="N11" s="8"/>
      <c r="O11" s="8"/>
      <c r="P11" s="8"/>
      <c r="Q11" s="85"/>
      <c r="R11" s="24"/>
      <c r="S11" s="86"/>
      <c r="T11" s="90">
        <f t="shared" si="0"/>
        <v>0</v>
      </c>
      <c r="U11" s="91">
        <f>Tabla141923[[#This Row],[NETO]]*2%</f>
        <v>0</v>
      </c>
    </row>
    <row r="12" spans="1:26" x14ac:dyDescent="0.3">
      <c r="A12" s="89"/>
      <c r="B12" s="16">
        <v>3484</v>
      </c>
      <c r="G12" s="83"/>
      <c r="H12" s="49"/>
      <c r="I12" s="84"/>
      <c r="J12" s="1"/>
      <c r="M12" s="7"/>
      <c r="N12" s="8"/>
      <c r="O12" s="8"/>
      <c r="P12" s="8"/>
      <c r="Q12" s="85"/>
      <c r="R12" s="24"/>
      <c r="S12" s="86"/>
      <c r="T12" s="90">
        <f t="shared" si="0"/>
        <v>0</v>
      </c>
      <c r="U12" s="91">
        <f>Tabla141923[[#This Row],[NETO]]*2%</f>
        <v>0</v>
      </c>
    </row>
    <row r="13" spans="1:26" x14ac:dyDescent="0.3">
      <c r="A13" s="89"/>
      <c r="B13" s="16">
        <v>3485</v>
      </c>
      <c r="F13" s="21"/>
      <c r="G13" s="83"/>
      <c r="H13" s="49"/>
      <c r="I13" s="84"/>
      <c r="J13" s="1"/>
      <c r="M13" s="7"/>
      <c r="N13" s="8"/>
      <c r="O13" s="8"/>
      <c r="P13" s="8"/>
      <c r="Q13" s="85"/>
      <c r="R13" s="24"/>
      <c r="S13" s="86"/>
      <c r="T13" s="90">
        <f t="shared" si="0"/>
        <v>0</v>
      </c>
      <c r="U13" s="91">
        <f>Tabla141923[[#This Row],[NETO]]*2%</f>
        <v>0</v>
      </c>
    </row>
    <row r="14" spans="1:26" x14ac:dyDescent="0.3">
      <c r="A14" s="89"/>
      <c r="B14" s="16">
        <v>3486</v>
      </c>
      <c r="G14" s="83"/>
      <c r="H14" s="49"/>
      <c r="I14" s="84"/>
      <c r="J14" s="1"/>
      <c r="M14" s="7"/>
      <c r="N14" s="8"/>
      <c r="O14" s="8"/>
      <c r="P14" s="8"/>
      <c r="Q14" s="85"/>
      <c r="R14" s="24"/>
      <c r="S14" s="86"/>
      <c r="T14" s="90">
        <f t="shared" si="0"/>
        <v>0</v>
      </c>
      <c r="U14" s="91">
        <f>Tabla141923[[#This Row],[NETO]]*2%</f>
        <v>0</v>
      </c>
    </row>
    <row r="15" spans="1:26" x14ac:dyDescent="0.3">
      <c r="A15" s="89"/>
      <c r="B15" s="16">
        <v>3487</v>
      </c>
      <c r="G15" s="83"/>
      <c r="H15" s="49"/>
      <c r="I15" s="84"/>
      <c r="J15" s="1"/>
      <c r="M15" s="7"/>
      <c r="N15" s="8"/>
      <c r="O15" s="8"/>
      <c r="P15" s="8"/>
      <c r="Q15" s="85"/>
      <c r="R15" s="24"/>
      <c r="S15" s="30"/>
      <c r="T15" s="90">
        <f t="shared" si="0"/>
        <v>0</v>
      </c>
      <c r="U15" s="91">
        <f>Tabla141923[[#This Row],[NETO]]*2%</f>
        <v>0</v>
      </c>
    </row>
    <row r="16" spans="1:26" x14ac:dyDescent="0.3">
      <c r="A16" s="89"/>
      <c r="B16" s="16">
        <v>3488</v>
      </c>
      <c r="G16" s="83"/>
      <c r="H16" s="49"/>
      <c r="I16" s="84"/>
      <c r="J16" s="1"/>
      <c r="M16" s="7"/>
      <c r="N16" s="8"/>
      <c r="O16" s="8"/>
      <c r="P16" s="8"/>
      <c r="Q16" s="85"/>
      <c r="R16" s="24"/>
      <c r="S16" s="30"/>
      <c r="T16" s="90">
        <f t="shared" si="0"/>
        <v>0</v>
      </c>
      <c r="U16" s="91">
        <f>Tabla141923[[#This Row],[NETO]]*2%</f>
        <v>0</v>
      </c>
    </row>
    <row r="17" spans="1:21" x14ac:dyDescent="0.3">
      <c r="A17" s="89"/>
      <c r="B17" s="16">
        <v>3489</v>
      </c>
      <c r="F17" s="21"/>
      <c r="G17" s="83"/>
      <c r="H17" s="49"/>
      <c r="I17" s="84"/>
      <c r="J17" s="1"/>
      <c r="M17" s="7"/>
      <c r="N17" s="8"/>
      <c r="O17" s="8"/>
      <c r="P17" s="8"/>
      <c r="Q17" s="85"/>
      <c r="R17" s="24"/>
      <c r="S17" s="30"/>
      <c r="T17" s="90">
        <f t="shared" si="0"/>
        <v>0</v>
      </c>
      <c r="U17" s="91">
        <f>Tabla141923[[#This Row],[NETO]]*2%</f>
        <v>0</v>
      </c>
    </row>
    <row r="18" spans="1:21" x14ac:dyDescent="0.3">
      <c r="A18" s="89"/>
      <c r="B18" s="16">
        <v>3490</v>
      </c>
      <c r="G18" s="83"/>
      <c r="H18" s="49"/>
      <c r="I18" s="84"/>
      <c r="J18" s="1"/>
      <c r="M18" s="7"/>
      <c r="N18" s="8"/>
      <c r="O18" s="8"/>
      <c r="P18" s="8"/>
      <c r="Q18" s="85"/>
      <c r="R18" s="24"/>
      <c r="S18" s="30"/>
      <c r="T18" s="90">
        <f t="shared" si="0"/>
        <v>0</v>
      </c>
      <c r="U18" s="91">
        <f>Tabla141923[[#This Row],[NETO]]*2%</f>
        <v>0</v>
      </c>
    </row>
    <row r="19" spans="1:21" x14ac:dyDescent="0.3">
      <c r="A19" s="89"/>
      <c r="B19" s="16">
        <v>3491</v>
      </c>
      <c r="F19" s="21"/>
      <c r="G19" s="83"/>
      <c r="H19" s="49"/>
      <c r="I19" s="84"/>
      <c r="J19" s="1"/>
      <c r="M19" s="7"/>
      <c r="N19" s="8"/>
      <c r="O19" s="8"/>
      <c r="P19" s="8"/>
      <c r="Q19" s="85"/>
      <c r="R19" s="24"/>
      <c r="S19" s="30"/>
      <c r="T19" s="90">
        <f t="shared" si="0"/>
        <v>0</v>
      </c>
      <c r="U19" s="91">
        <f>Tabla141923[[#This Row],[NETO]]*2%</f>
        <v>0</v>
      </c>
    </row>
    <row r="20" spans="1:21" x14ac:dyDescent="0.3">
      <c r="A20" s="89"/>
      <c r="B20" s="16">
        <v>3492</v>
      </c>
      <c r="F20" s="21"/>
      <c r="G20" s="83"/>
      <c r="H20" s="49"/>
      <c r="I20" s="84"/>
      <c r="J20" s="1"/>
      <c r="M20" s="7"/>
      <c r="N20" s="8"/>
      <c r="O20" s="8"/>
      <c r="P20" s="8"/>
      <c r="Q20" s="85"/>
      <c r="R20" s="24"/>
      <c r="S20" s="30"/>
      <c r="T20" s="90">
        <f t="shared" si="0"/>
        <v>0</v>
      </c>
      <c r="U20" s="91">
        <f>Tabla141923[[#This Row],[NETO]]*2%</f>
        <v>0</v>
      </c>
    </row>
    <row r="21" spans="1:21" x14ac:dyDescent="0.3">
      <c r="A21" s="89"/>
      <c r="B21" s="16">
        <v>3493</v>
      </c>
      <c r="F21" s="21"/>
      <c r="G21" s="83"/>
      <c r="H21" s="49"/>
      <c r="I21" s="84"/>
      <c r="J21" s="1"/>
      <c r="M21" s="7"/>
      <c r="N21" s="8"/>
      <c r="O21" s="8"/>
      <c r="P21" s="8"/>
      <c r="Q21" s="85"/>
      <c r="R21" s="24"/>
      <c r="S21" s="30"/>
      <c r="T21" s="90">
        <f t="shared" si="0"/>
        <v>0</v>
      </c>
      <c r="U21" s="91">
        <f>Tabla141923[[#This Row],[NETO]]*2%</f>
        <v>0</v>
      </c>
    </row>
    <row r="22" spans="1:21" x14ac:dyDescent="0.3">
      <c r="A22" s="89"/>
      <c r="B22" s="16">
        <v>3494</v>
      </c>
      <c r="F22" s="21"/>
      <c r="G22" s="83"/>
      <c r="H22" s="49"/>
      <c r="I22" s="84"/>
      <c r="J22" s="1"/>
      <c r="M22" s="7"/>
      <c r="N22" s="8"/>
      <c r="O22" s="8"/>
      <c r="P22" s="8"/>
      <c r="Q22" s="85"/>
      <c r="R22" s="24"/>
      <c r="S22" s="30"/>
      <c r="T22" s="90">
        <f t="shared" si="0"/>
        <v>0</v>
      </c>
      <c r="U22" s="91">
        <f>Tabla141923[[#This Row],[NETO]]*2%</f>
        <v>0</v>
      </c>
    </row>
    <row r="23" spans="1:21" x14ac:dyDescent="0.3">
      <c r="A23" s="89"/>
      <c r="B23" s="16">
        <v>3495</v>
      </c>
      <c r="F23" s="21"/>
      <c r="G23" s="83"/>
      <c r="H23" s="49"/>
      <c r="I23" s="84"/>
      <c r="J23" s="1"/>
      <c r="M23" s="7"/>
      <c r="N23" s="8"/>
      <c r="O23" s="8"/>
      <c r="P23" s="8"/>
      <c r="Q23" s="85"/>
      <c r="R23" s="24"/>
      <c r="S23" s="30"/>
      <c r="T23" s="90">
        <f t="shared" si="0"/>
        <v>0</v>
      </c>
      <c r="U23" s="91">
        <f>Tabla141923[[#This Row],[NETO]]*2%</f>
        <v>0</v>
      </c>
    </row>
    <row r="24" spans="1:21" x14ac:dyDescent="0.3">
      <c r="A24" s="89"/>
      <c r="B24" s="16">
        <v>3496</v>
      </c>
      <c r="F24" s="21"/>
      <c r="G24" s="83"/>
      <c r="H24" s="49"/>
      <c r="I24" s="84"/>
      <c r="J24" s="1"/>
      <c r="M24" s="7"/>
      <c r="N24" s="8"/>
      <c r="O24" s="8"/>
      <c r="P24" s="8"/>
      <c r="Q24" s="85"/>
      <c r="R24" s="24"/>
      <c r="S24" s="30"/>
      <c r="T24" s="90">
        <f t="shared" si="0"/>
        <v>0</v>
      </c>
      <c r="U24" s="91">
        <f>Tabla141923[[#This Row],[NETO]]*2%</f>
        <v>0</v>
      </c>
    </row>
    <row r="25" spans="1:21" x14ac:dyDescent="0.3">
      <c r="A25" s="89"/>
      <c r="B25" s="16">
        <v>3497</v>
      </c>
      <c r="F25" s="21"/>
      <c r="G25" s="83"/>
      <c r="H25" s="49"/>
      <c r="I25" s="84"/>
      <c r="J25" s="1"/>
      <c r="M25" s="7"/>
      <c r="N25" s="8"/>
      <c r="O25" s="8"/>
      <c r="P25" s="8"/>
      <c r="Q25" s="85"/>
      <c r="R25" s="24"/>
      <c r="S25" s="30"/>
      <c r="T25" s="90">
        <f t="shared" si="0"/>
        <v>0</v>
      </c>
      <c r="U25" s="91">
        <f>Tabla141923[[#This Row],[NETO]]*2%</f>
        <v>0</v>
      </c>
    </row>
    <row r="26" spans="1:21" x14ac:dyDescent="0.3">
      <c r="A26" s="89"/>
      <c r="B26" s="16">
        <v>3498</v>
      </c>
      <c r="F26" s="21"/>
      <c r="G26" s="83"/>
      <c r="H26" s="49"/>
      <c r="I26" s="84"/>
      <c r="J26" s="1"/>
      <c r="M26" s="7"/>
      <c r="N26" s="8"/>
      <c r="O26" s="8"/>
      <c r="P26" s="8"/>
      <c r="Q26" s="85"/>
      <c r="R26" s="24"/>
      <c r="S26" s="30"/>
      <c r="T26" s="90">
        <f t="shared" si="0"/>
        <v>0</v>
      </c>
      <c r="U26" s="91">
        <f>Tabla141923[[#This Row],[NETO]]*2%</f>
        <v>0</v>
      </c>
    </row>
    <row r="27" spans="1:21" x14ac:dyDescent="0.3">
      <c r="A27" s="89"/>
      <c r="B27" s="16">
        <v>3499</v>
      </c>
      <c r="F27" s="21"/>
      <c r="G27" s="83"/>
      <c r="H27" s="49"/>
      <c r="I27" s="84"/>
      <c r="J27" s="1"/>
      <c r="L27" s="1"/>
      <c r="M27" s="7"/>
      <c r="N27" s="8"/>
      <c r="O27" s="8"/>
      <c r="P27" s="8"/>
      <c r="Q27" s="85"/>
      <c r="R27" s="24"/>
      <c r="S27" s="30"/>
      <c r="T27" s="90">
        <f t="shared" si="0"/>
        <v>0</v>
      </c>
      <c r="U27" s="91">
        <f>Tabla141923[[#This Row],[NETO]]*2%</f>
        <v>0</v>
      </c>
    </row>
    <row r="28" spans="1:21" x14ac:dyDescent="0.3">
      <c r="A28" s="89"/>
      <c r="B28" s="16">
        <v>3500</v>
      </c>
      <c r="F28" s="21"/>
      <c r="G28" s="83"/>
      <c r="H28" s="49"/>
      <c r="I28" s="84"/>
      <c r="J28" s="1"/>
      <c r="M28" s="7"/>
      <c r="N28" s="8"/>
      <c r="O28" s="8"/>
      <c r="P28" s="8"/>
      <c r="Q28" s="85"/>
      <c r="R28" s="24"/>
      <c r="S28" s="30"/>
      <c r="T28" s="90">
        <f t="shared" si="0"/>
        <v>0</v>
      </c>
      <c r="U28" s="91">
        <f>Tabla141923[[#This Row],[NETO]]*2%</f>
        <v>0</v>
      </c>
    </row>
    <row r="29" spans="1:21" x14ac:dyDescent="0.3">
      <c r="A29" s="89"/>
      <c r="B29" s="16">
        <v>3501</v>
      </c>
      <c r="F29" s="21"/>
      <c r="G29" s="83"/>
      <c r="H29" s="49"/>
      <c r="I29" s="84"/>
      <c r="J29" s="1"/>
      <c r="M29" s="7"/>
      <c r="N29" s="8"/>
      <c r="O29" s="8"/>
      <c r="P29" s="8"/>
      <c r="Q29" s="85"/>
      <c r="R29" s="24"/>
      <c r="S29" s="30"/>
      <c r="T29" s="90">
        <f t="shared" si="0"/>
        <v>0</v>
      </c>
      <c r="U29" s="91">
        <f>Tabla141923[[#This Row],[NETO]]*2%</f>
        <v>0</v>
      </c>
    </row>
    <row r="30" spans="1:21" x14ac:dyDescent="0.3">
      <c r="A30" s="89"/>
      <c r="B30" s="16">
        <v>3502</v>
      </c>
      <c r="F30" s="21"/>
      <c r="G30" s="83"/>
      <c r="H30" s="49"/>
      <c r="I30" s="84"/>
      <c r="J30" s="1"/>
      <c r="M30" s="7"/>
      <c r="N30" s="8"/>
      <c r="O30" s="8"/>
      <c r="P30" s="8"/>
      <c r="Q30" s="85"/>
      <c r="R30" s="24"/>
      <c r="S30" s="30"/>
      <c r="T30" s="90">
        <f t="shared" si="0"/>
        <v>0</v>
      </c>
      <c r="U30" s="91">
        <f>Tabla141923[[#This Row],[NETO]]*2%</f>
        <v>0</v>
      </c>
    </row>
    <row r="31" spans="1:21" x14ac:dyDescent="0.3">
      <c r="A31" s="89"/>
      <c r="B31" s="16">
        <v>3503</v>
      </c>
      <c r="F31" s="21"/>
      <c r="G31" s="83"/>
      <c r="H31" s="49"/>
      <c r="I31" s="84"/>
      <c r="J31" s="1"/>
      <c r="M31" s="7"/>
      <c r="N31" s="8"/>
      <c r="O31" s="8"/>
      <c r="P31" s="8"/>
      <c r="Q31" s="85"/>
      <c r="R31" s="24"/>
      <c r="S31" s="30"/>
      <c r="T31" s="90">
        <f t="shared" si="0"/>
        <v>0</v>
      </c>
      <c r="U31" s="91">
        <f>Tabla141923[[#This Row],[NETO]]*2%</f>
        <v>0</v>
      </c>
    </row>
    <row r="32" spans="1:21" x14ac:dyDescent="0.3">
      <c r="A32" s="89"/>
      <c r="B32" s="16">
        <v>3504</v>
      </c>
      <c r="F32" s="21"/>
      <c r="G32" s="83"/>
      <c r="H32" s="49"/>
      <c r="I32" s="84"/>
      <c r="J32" s="1"/>
      <c r="M32" s="7"/>
      <c r="N32" s="8"/>
      <c r="O32" s="8"/>
      <c r="P32" s="8"/>
      <c r="Q32" s="85"/>
      <c r="R32" s="24"/>
      <c r="S32" s="30"/>
      <c r="T32" s="90">
        <f t="shared" si="0"/>
        <v>0</v>
      </c>
      <c r="U32" s="91">
        <f>Tabla141923[[#This Row],[NETO]]*2%</f>
        <v>0</v>
      </c>
    </row>
    <row r="33" spans="1:25" x14ac:dyDescent="0.3">
      <c r="A33" s="89"/>
      <c r="B33" s="16">
        <v>3505</v>
      </c>
      <c r="F33" s="21"/>
      <c r="G33" s="83"/>
      <c r="H33" s="49"/>
      <c r="I33" s="84"/>
      <c r="J33" s="1"/>
      <c r="M33" s="7"/>
      <c r="N33" s="8"/>
      <c r="O33" s="8"/>
      <c r="P33" s="8"/>
      <c r="Q33" s="85"/>
      <c r="R33" s="24"/>
      <c r="S33" s="30"/>
      <c r="T33" s="90">
        <f t="shared" si="0"/>
        <v>0</v>
      </c>
      <c r="U33" s="91">
        <f>Tabla141923[[#This Row],[NETO]]*2%</f>
        <v>0</v>
      </c>
    </row>
    <row r="34" spans="1:25" x14ac:dyDescent="0.3">
      <c r="A34" s="89"/>
      <c r="B34" s="16">
        <v>3506</v>
      </c>
      <c r="F34" s="21"/>
      <c r="G34" s="83"/>
      <c r="H34" s="49"/>
      <c r="I34" s="84"/>
      <c r="J34" s="1"/>
      <c r="M34" s="7"/>
      <c r="N34" s="8"/>
      <c r="O34" s="8"/>
      <c r="P34" s="8"/>
      <c r="Q34" s="85"/>
      <c r="R34" s="24"/>
      <c r="S34" s="30"/>
      <c r="T34" s="90">
        <f t="shared" si="0"/>
        <v>0</v>
      </c>
      <c r="U34" s="91">
        <f>Tabla141923[[#This Row],[NETO]]*2%</f>
        <v>0</v>
      </c>
    </row>
    <row r="35" spans="1:25" x14ac:dyDescent="0.3">
      <c r="A35" s="89"/>
      <c r="B35" s="16">
        <v>3507</v>
      </c>
      <c r="F35" s="21"/>
      <c r="G35" s="83"/>
      <c r="H35" s="49"/>
      <c r="I35" s="84"/>
      <c r="J35" s="1"/>
      <c r="M35" s="7"/>
      <c r="N35" s="8"/>
      <c r="O35" s="8"/>
      <c r="P35" s="8"/>
      <c r="Q35" s="85"/>
      <c r="R35" s="24"/>
      <c r="S35" s="30"/>
      <c r="T35" s="90">
        <f t="shared" si="0"/>
        <v>0</v>
      </c>
      <c r="U35" s="91">
        <f>Tabla141923[[#This Row],[NETO]]*2%</f>
        <v>0</v>
      </c>
    </row>
    <row r="36" spans="1:25" x14ac:dyDescent="0.3">
      <c r="A36" s="89"/>
      <c r="B36" s="16">
        <v>3508</v>
      </c>
      <c r="F36" s="21"/>
      <c r="G36" s="83"/>
      <c r="H36" s="49"/>
      <c r="I36" s="84"/>
      <c r="J36" s="1"/>
      <c r="M36" s="7"/>
      <c r="N36" s="8"/>
      <c r="O36" s="8"/>
      <c r="P36" s="8"/>
      <c r="Q36" s="85"/>
      <c r="R36" s="24"/>
      <c r="S36" s="30"/>
      <c r="T36" s="90">
        <f t="shared" si="0"/>
        <v>0</v>
      </c>
      <c r="U36" s="91">
        <f>Tabla141923[[#This Row],[NETO]]*2%</f>
        <v>0</v>
      </c>
    </row>
    <row r="37" spans="1:25" x14ac:dyDescent="0.3">
      <c r="A37" s="89"/>
      <c r="B37" s="16">
        <v>3509</v>
      </c>
      <c r="F37" s="21"/>
      <c r="G37" s="83"/>
      <c r="H37" s="49"/>
      <c r="I37" s="84"/>
      <c r="J37" s="1"/>
      <c r="M37" s="7"/>
      <c r="N37" s="8"/>
      <c r="O37" s="8"/>
      <c r="P37" s="8"/>
      <c r="Q37" s="85"/>
      <c r="R37" s="24"/>
      <c r="S37" s="30"/>
      <c r="T37" s="90">
        <f t="shared" si="0"/>
        <v>0</v>
      </c>
      <c r="U37" s="91">
        <f>Tabla141923[[#This Row],[NETO]]*2%</f>
        <v>0</v>
      </c>
    </row>
    <row r="38" spans="1:25" x14ac:dyDescent="0.3">
      <c r="A38" s="89"/>
      <c r="B38" s="16">
        <v>3510</v>
      </c>
      <c r="F38" s="21"/>
      <c r="G38" s="83"/>
      <c r="H38" s="49"/>
      <c r="I38" s="84"/>
      <c r="J38" s="1"/>
      <c r="M38" s="7"/>
      <c r="N38" s="8"/>
      <c r="O38" s="8"/>
      <c r="P38" s="8"/>
      <c r="Q38" s="85"/>
      <c r="R38" s="24"/>
      <c r="S38" s="30"/>
      <c r="T38" s="90">
        <f t="shared" si="0"/>
        <v>0</v>
      </c>
      <c r="U38" s="91">
        <f>Tabla141923[[#This Row],[NETO]]*2%</f>
        <v>0</v>
      </c>
    </row>
    <row r="39" spans="1:25" x14ac:dyDescent="0.3">
      <c r="A39" s="89"/>
      <c r="B39" s="16">
        <v>3511</v>
      </c>
      <c r="F39" s="21"/>
      <c r="G39" s="83"/>
      <c r="H39" s="49"/>
      <c r="I39" s="84"/>
      <c r="J39" s="1"/>
      <c r="M39" s="7"/>
      <c r="N39" s="8"/>
      <c r="O39" s="8"/>
      <c r="P39" s="8"/>
      <c r="Q39" s="85"/>
      <c r="R39" s="24"/>
      <c r="S39" s="30"/>
      <c r="T39" s="90">
        <f t="shared" si="0"/>
        <v>0</v>
      </c>
      <c r="U39" s="91">
        <f>Tabla141923[[#This Row],[NETO]]*2%</f>
        <v>0</v>
      </c>
    </row>
    <row r="40" spans="1:25" x14ac:dyDescent="0.3">
      <c r="A40" s="89"/>
      <c r="B40" s="16">
        <v>3512</v>
      </c>
      <c r="F40" s="21"/>
      <c r="G40" s="83"/>
      <c r="H40" s="49"/>
      <c r="I40" s="84"/>
      <c r="J40" s="1"/>
      <c r="M40" s="7"/>
      <c r="N40" s="8"/>
      <c r="O40" s="8"/>
      <c r="P40" s="8"/>
      <c r="Q40" s="85"/>
      <c r="R40" s="24"/>
      <c r="S40" s="30"/>
      <c r="T40" s="90">
        <f>S40/1.19</f>
        <v>0</v>
      </c>
      <c r="U40" s="91">
        <f>Tabla141923[[#This Row],[NETO]]*2%</f>
        <v>0</v>
      </c>
    </row>
    <row r="41" spans="1:25" x14ac:dyDescent="0.3">
      <c r="A41" s="89"/>
      <c r="B41" s="16">
        <v>3513</v>
      </c>
      <c r="F41" s="21"/>
      <c r="G41" s="83"/>
      <c r="H41" s="49"/>
      <c r="I41" s="84"/>
      <c r="J41" s="1"/>
      <c r="M41" s="7"/>
      <c r="N41" s="8"/>
      <c r="O41" s="8"/>
      <c r="P41" s="8"/>
      <c r="Q41" s="85"/>
      <c r="R41" s="24"/>
      <c r="S41" s="30"/>
      <c r="T41" s="90">
        <f>S41/1.19</f>
        <v>0</v>
      </c>
      <c r="U41" s="91">
        <f>Tabla141923[[#This Row],[NETO]]*2%</f>
        <v>0</v>
      </c>
    </row>
    <row r="42" spans="1:25" x14ac:dyDescent="0.3">
      <c r="A42" s="89"/>
      <c r="B42" s="16">
        <v>3514</v>
      </c>
      <c r="F42" s="21"/>
      <c r="G42" s="83"/>
      <c r="H42" s="49"/>
      <c r="I42" s="84"/>
      <c r="J42" s="1"/>
      <c r="M42" s="7"/>
      <c r="N42" s="8"/>
      <c r="O42" s="8"/>
      <c r="P42" s="8"/>
      <c r="Q42" s="85"/>
      <c r="R42" s="24"/>
      <c r="S42" s="30"/>
      <c r="T42" s="90">
        <f>S42/1.19</f>
        <v>0</v>
      </c>
      <c r="U42" s="91">
        <f>Tabla141923[[#This Row],[NETO]]*2%</f>
        <v>0</v>
      </c>
    </row>
    <row r="43" spans="1:25" x14ac:dyDescent="0.3">
      <c r="A43" s="89"/>
      <c r="B43" s="16">
        <v>3515</v>
      </c>
      <c r="F43" s="21"/>
      <c r="G43" s="83"/>
      <c r="H43" s="49"/>
      <c r="I43" s="84"/>
      <c r="J43" s="1"/>
      <c r="M43" s="7"/>
      <c r="N43" s="8"/>
      <c r="O43" s="8"/>
      <c r="P43" s="8"/>
      <c r="Q43" s="85"/>
      <c r="R43" s="24"/>
      <c r="S43" s="30"/>
      <c r="T43" s="90">
        <f>S43/1.19</f>
        <v>0</v>
      </c>
      <c r="U43" s="91">
        <f>Tabla141923[[#This Row],[NETO]]*2%</f>
        <v>0</v>
      </c>
    </row>
    <row r="44" spans="1:25" x14ac:dyDescent="0.3">
      <c r="A44" s="89"/>
      <c r="B44" s="16">
        <v>3516</v>
      </c>
      <c r="G44" s="83"/>
      <c r="H44" s="49"/>
      <c r="I44" s="84"/>
      <c r="J44" s="1"/>
      <c r="M44" s="7"/>
      <c r="N44" s="8"/>
      <c r="O44" s="8"/>
      <c r="P44" s="8"/>
      <c r="Q44" s="85"/>
      <c r="R44" s="24"/>
      <c r="S44" s="30"/>
      <c r="T44" s="90">
        <f>S44/1.19</f>
        <v>0</v>
      </c>
      <c r="U44" s="91">
        <f>Tabla141923[[#This Row],[NETO]]*2%</f>
        <v>0</v>
      </c>
    </row>
    <row r="45" spans="1:25" x14ac:dyDescent="0.3">
      <c r="A45" s="89"/>
      <c r="B45" s="16">
        <v>3517</v>
      </c>
      <c r="F45" s="21"/>
      <c r="G45" s="83"/>
      <c r="H45" s="49"/>
      <c r="I45" s="84"/>
      <c r="J45" s="1"/>
      <c r="M45" s="7"/>
      <c r="N45" s="8"/>
      <c r="O45" s="8"/>
      <c r="P45" s="8"/>
      <c r="Q45" s="85"/>
      <c r="R45" s="24"/>
      <c r="S45" s="30"/>
      <c r="T45" s="90">
        <f t="shared" si="0"/>
        <v>0</v>
      </c>
      <c r="U45" s="91">
        <f>Tabla141923[[#This Row],[NETO]]*2%</f>
        <v>0</v>
      </c>
    </row>
    <row r="46" spans="1:25" x14ac:dyDescent="0.3">
      <c r="A46" s="89"/>
      <c r="B46" s="16">
        <v>3518</v>
      </c>
      <c r="F46" s="21"/>
      <c r="G46" s="83"/>
      <c r="H46" s="49"/>
      <c r="I46" s="84"/>
      <c r="J46" s="1"/>
      <c r="M46" s="7"/>
      <c r="N46" s="8"/>
      <c r="O46" s="8"/>
      <c r="P46" s="8"/>
      <c r="Q46" s="85"/>
      <c r="R46" s="24"/>
      <c r="S46" s="30"/>
      <c r="T46" s="90">
        <f t="shared" si="0"/>
        <v>0</v>
      </c>
      <c r="U46" s="91">
        <f>Tabla141923[[#This Row],[NETO]]*2%</f>
        <v>0</v>
      </c>
    </row>
    <row r="47" spans="1:25" x14ac:dyDescent="0.3">
      <c r="A47" s="89"/>
      <c r="B47" s="16">
        <v>3519</v>
      </c>
      <c r="F47" s="21"/>
      <c r="G47" s="83"/>
      <c r="H47" s="49"/>
      <c r="I47" s="84"/>
      <c r="J47" s="1"/>
      <c r="M47" s="7"/>
      <c r="N47" s="8"/>
      <c r="O47" s="8"/>
      <c r="P47" s="8"/>
      <c r="Q47" s="85"/>
      <c r="R47" s="24"/>
      <c r="S47" s="30"/>
      <c r="T47" s="90">
        <f t="shared" si="0"/>
        <v>0</v>
      </c>
      <c r="U47" s="91">
        <f>Tabla141923[[#This Row],[NETO]]*2%</f>
        <v>0</v>
      </c>
      <c r="X47" s="127"/>
      <c r="Y47" s="127"/>
    </row>
    <row r="48" spans="1:25" x14ac:dyDescent="0.3">
      <c r="A48" s="89"/>
      <c r="B48" s="16">
        <v>3520</v>
      </c>
      <c r="F48" s="21"/>
      <c r="G48" s="83"/>
      <c r="H48" s="49"/>
      <c r="I48" s="84"/>
      <c r="J48" s="1"/>
      <c r="M48" s="7"/>
      <c r="N48" s="8"/>
      <c r="O48" s="8"/>
      <c r="P48" s="8"/>
      <c r="Q48" s="85"/>
      <c r="R48" s="24"/>
      <c r="S48" s="30"/>
      <c r="T48" s="90">
        <f t="shared" si="0"/>
        <v>0</v>
      </c>
      <c r="U48" s="91">
        <f>Tabla141923[[#This Row],[NETO]]*2%</f>
        <v>0</v>
      </c>
      <c r="X48" s="51"/>
      <c r="Y48" s="92"/>
    </row>
    <row r="49" spans="1:25" x14ac:dyDescent="0.3">
      <c r="A49" s="89"/>
      <c r="B49" s="16">
        <v>3521</v>
      </c>
      <c r="F49" s="21"/>
      <c r="G49" s="83"/>
      <c r="H49" s="49"/>
      <c r="I49" s="84"/>
      <c r="J49" s="1"/>
      <c r="M49" s="7"/>
      <c r="N49" s="8"/>
      <c r="O49" s="8"/>
      <c r="P49" s="8"/>
      <c r="Q49" s="85"/>
      <c r="R49" s="24"/>
      <c r="S49" s="30"/>
      <c r="T49" s="90">
        <f t="shared" si="0"/>
        <v>0</v>
      </c>
      <c r="U49" s="91">
        <f>Tabla141923[[#This Row],[NETO]]*2%</f>
        <v>0</v>
      </c>
      <c r="X49" s="51"/>
      <c r="Y49" s="92"/>
    </row>
    <row r="50" spans="1:25" ht="15" thickBot="1" x14ac:dyDescent="0.35">
      <c r="A50" s="46" t="s">
        <v>18</v>
      </c>
      <c r="B50" s="17">
        <f>COUNT(B3:B49)</f>
        <v>45</v>
      </c>
      <c r="C50" s="22"/>
      <c r="D50" s="22"/>
      <c r="E50" s="22"/>
      <c r="F50" s="22"/>
      <c r="G50" s="93"/>
      <c r="H50" s="62"/>
      <c r="I50" s="94"/>
      <c r="J50" s="23"/>
      <c r="K50" s="95"/>
      <c r="L50" s="95"/>
      <c r="M50" s="9"/>
      <c r="N50" s="10"/>
      <c r="O50" s="10"/>
      <c r="P50" s="10"/>
      <c r="Q50" s="96"/>
      <c r="R50" s="31"/>
      <c r="S50" s="97">
        <f>SUM(S3:S49)</f>
        <v>1849800</v>
      </c>
      <c r="T50" s="97">
        <f>SUM(T3:T49)</f>
        <v>1554453.781512605</v>
      </c>
      <c r="U50" s="97">
        <f>Tabla141923[[#This Row],[NETO]]*2%</f>
        <v>31089.0756302521</v>
      </c>
      <c r="X50" s="51"/>
      <c r="Y50" s="92"/>
    </row>
  </sheetData>
  <mergeCells count="5">
    <mergeCell ref="C1:F1"/>
    <mergeCell ref="G1:L1"/>
    <mergeCell ref="M1:Q1"/>
    <mergeCell ref="R1:U1"/>
    <mergeCell ref="X47:Y47"/>
  </mergeCells>
  <hyperlinks>
    <hyperlink ref="F5" r:id="rId1" xr:uid="{24EE2520-EC35-43B1-84A5-3FE4331B8D4A}"/>
    <hyperlink ref="F6" r:id="rId2" xr:uid="{AD6A6BCF-F256-4F15-BC3A-42EE09214778}"/>
  </hyperlinks>
  <pageMargins left="0.7" right="0.7" top="0.75" bottom="0.75" header="0.3" footer="0.3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D9E6-E6F5-4335-96C6-57A37904E285}">
  <dimension ref="A1:Z50"/>
  <sheetViews>
    <sheetView topLeftCell="A28" zoomScale="77" zoomScaleNormal="77" workbookViewId="0">
      <selection activeCell="B3" sqref="B3:B49"/>
    </sheetView>
  </sheetViews>
  <sheetFormatPr baseColWidth="10" defaultColWidth="10.33203125" defaultRowHeight="14.4" x14ac:dyDescent="0.3"/>
  <cols>
    <col min="1" max="23" width="10.33203125" style="81"/>
    <col min="24" max="24" width="10.33203125" style="1"/>
    <col min="25" max="25" width="10.33203125" style="81"/>
    <col min="26" max="26" width="10.33203125" style="82"/>
    <col min="27" max="16384" width="10.33203125" style="81"/>
  </cols>
  <sheetData>
    <row r="1" spans="1:26" ht="18" x14ac:dyDescent="0.35">
      <c r="A1" s="79"/>
      <c r="B1" s="80"/>
      <c r="C1" s="120" t="s">
        <v>1</v>
      </c>
      <c r="D1" s="120"/>
      <c r="E1" s="120"/>
      <c r="F1" s="120"/>
      <c r="G1" s="121" t="s">
        <v>6</v>
      </c>
      <c r="H1" s="122"/>
      <c r="I1" s="122"/>
      <c r="J1" s="122"/>
      <c r="K1" s="123"/>
      <c r="L1" s="123"/>
      <c r="M1" s="121" t="s">
        <v>13</v>
      </c>
      <c r="N1" s="122"/>
      <c r="O1" s="122"/>
      <c r="P1" s="122"/>
      <c r="Q1" s="124"/>
      <c r="R1" s="125" t="s">
        <v>24</v>
      </c>
      <c r="S1" s="126"/>
      <c r="T1" s="126"/>
      <c r="U1" s="126"/>
      <c r="X1" s="1" t="s">
        <v>22</v>
      </c>
      <c r="Y1" s="81" t="s">
        <v>25</v>
      </c>
      <c r="Z1" s="82" t="s">
        <v>19</v>
      </c>
    </row>
    <row r="2" spans="1:26" x14ac:dyDescent="0.3">
      <c r="A2" s="79" t="s">
        <v>0</v>
      </c>
      <c r="B2" s="16" t="s">
        <v>22</v>
      </c>
      <c r="C2" s="81" t="s">
        <v>3</v>
      </c>
      <c r="D2" s="81" t="s">
        <v>2</v>
      </c>
      <c r="E2" s="81" t="s">
        <v>4</v>
      </c>
      <c r="F2" s="81" t="s">
        <v>5</v>
      </c>
      <c r="G2" s="83" t="s">
        <v>7</v>
      </c>
      <c r="H2" s="81" t="s">
        <v>8</v>
      </c>
      <c r="I2" s="84" t="s">
        <v>10</v>
      </c>
      <c r="J2" s="1" t="s">
        <v>9</v>
      </c>
      <c r="K2" s="81" t="s">
        <v>11</v>
      </c>
      <c r="L2" s="81" t="s">
        <v>12</v>
      </c>
      <c r="M2" s="7" t="s">
        <v>14</v>
      </c>
      <c r="N2" s="8" t="s">
        <v>15</v>
      </c>
      <c r="O2" s="8" t="s">
        <v>16</v>
      </c>
      <c r="P2" s="8" t="s">
        <v>17</v>
      </c>
      <c r="Q2" s="85" t="s">
        <v>21</v>
      </c>
      <c r="R2" s="24" t="s">
        <v>23</v>
      </c>
      <c r="S2" s="86" t="s">
        <v>18</v>
      </c>
      <c r="T2" s="87" t="s">
        <v>20</v>
      </c>
      <c r="U2" s="88" t="s">
        <v>19</v>
      </c>
    </row>
    <row r="3" spans="1:26" x14ac:dyDescent="0.3">
      <c r="A3" s="89"/>
      <c r="B3" s="16"/>
      <c r="F3" s="21"/>
      <c r="G3" s="83"/>
      <c r="H3" s="49"/>
      <c r="I3" s="84"/>
      <c r="J3" s="1"/>
      <c r="M3" s="7"/>
      <c r="N3" s="8"/>
      <c r="O3" s="8"/>
      <c r="P3" s="8"/>
      <c r="Q3" s="85"/>
      <c r="R3" s="24"/>
      <c r="S3" s="86"/>
      <c r="T3" s="90">
        <f t="shared" ref="T3:T49" si="0">S3/1.19</f>
        <v>0</v>
      </c>
      <c r="U3" s="91">
        <f>Tabla141925[[#This Row],[NETO]]*2%</f>
        <v>0</v>
      </c>
    </row>
    <row r="4" spans="1:26" x14ac:dyDescent="0.3">
      <c r="A4" s="89"/>
      <c r="B4" s="16"/>
      <c r="G4" s="83"/>
      <c r="H4" s="49"/>
      <c r="I4" s="84"/>
      <c r="J4" s="1"/>
      <c r="M4" s="7"/>
      <c r="N4" s="8"/>
      <c r="O4" s="8"/>
      <c r="P4" s="8"/>
      <c r="Q4" s="85"/>
      <c r="R4" s="24"/>
      <c r="S4" s="86"/>
      <c r="T4" s="90">
        <f t="shared" si="0"/>
        <v>0</v>
      </c>
      <c r="U4" s="91">
        <f>Tabla141925[[#This Row],[NETO]]*2%</f>
        <v>0</v>
      </c>
    </row>
    <row r="5" spans="1:26" x14ac:dyDescent="0.3">
      <c r="A5" s="89"/>
      <c r="B5" s="16"/>
      <c r="F5" s="21"/>
      <c r="G5" s="83"/>
      <c r="H5" s="49"/>
      <c r="I5" s="84"/>
      <c r="J5" s="1"/>
      <c r="M5" s="7"/>
      <c r="N5" s="8"/>
      <c r="O5" s="8"/>
      <c r="P5" s="8"/>
      <c r="Q5" s="85"/>
      <c r="R5" s="24"/>
      <c r="S5" s="86"/>
      <c r="T5" s="90">
        <f t="shared" si="0"/>
        <v>0</v>
      </c>
      <c r="U5" s="91">
        <f>Tabla141925[[#This Row],[NETO]]*2%</f>
        <v>0</v>
      </c>
    </row>
    <row r="6" spans="1:26" x14ac:dyDescent="0.3">
      <c r="A6" s="89"/>
      <c r="B6" s="16"/>
      <c r="F6" s="21"/>
      <c r="G6" s="83"/>
      <c r="H6" s="49"/>
      <c r="I6" s="84"/>
      <c r="J6" s="1"/>
      <c r="M6" s="7"/>
      <c r="N6" s="8"/>
      <c r="O6" s="8"/>
      <c r="P6" s="8"/>
      <c r="Q6" s="85"/>
      <c r="R6" s="24"/>
      <c r="S6" s="86"/>
      <c r="T6" s="90">
        <f t="shared" si="0"/>
        <v>0</v>
      </c>
      <c r="U6" s="91">
        <f>Tabla141925[[#This Row],[NETO]]*2%</f>
        <v>0</v>
      </c>
    </row>
    <row r="7" spans="1:26" x14ac:dyDescent="0.3">
      <c r="A7" s="89"/>
      <c r="B7" s="16"/>
      <c r="G7" s="83"/>
      <c r="H7" s="49"/>
      <c r="I7" s="84"/>
      <c r="J7" s="1"/>
      <c r="M7" s="7"/>
      <c r="N7" s="8"/>
      <c r="O7" s="8"/>
      <c r="P7" s="8"/>
      <c r="Q7" s="85"/>
      <c r="R7" s="24"/>
      <c r="S7" s="86"/>
      <c r="T7" s="90">
        <f t="shared" si="0"/>
        <v>0</v>
      </c>
      <c r="U7" s="91">
        <f>Tabla141925[[#This Row],[NETO]]*2%</f>
        <v>0</v>
      </c>
    </row>
    <row r="8" spans="1:26" x14ac:dyDescent="0.3">
      <c r="A8" s="89"/>
      <c r="B8" s="16"/>
      <c r="F8" s="21"/>
      <c r="G8" s="83"/>
      <c r="H8" s="49"/>
      <c r="I8" s="84"/>
      <c r="J8" s="1"/>
      <c r="M8" s="7"/>
      <c r="N8" s="8"/>
      <c r="O8" s="8"/>
      <c r="P8" s="8"/>
      <c r="Q8" s="85"/>
      <c r="R8" s="24"/>
      <c r="S8" s="86"/>
      <c r="T8" s="90">
        <f t="shared" si="0"/>
        <v>0</v>
      </c>
      <c r="U8" s="91">
        <f>Tabla141925[[#This Row],[NETO]]*2%</f>
        <v>0</v>
      </c>
    </row>
    <row r="9" spans="1:26" x14ac:dyDescent="0.3">
      <c r="A9" s="89"/>
      <c r="B9" s="16"/>
      <c r="G9" s="83"/>
      <c r="H9" s="49"/>
      <c r="I9" s="84"/>
      <c r="J9" s="1"/>
      <c r="M9" s="7"/>
      <c r="N9" s="8"/>
      <c r="O9" s="8"/>
      <c r="P9" s="8"/>
      <c r="Q9" s="85"/>
      <c r="R9" s="24"/>
      <c r="S9" s="86"/>
      <c r="T9" s="90">
        <f t="shared" si="0"/>
        <v>0</v>
      </c>
      <c r="U9" s="91">
        <f>Tabla141925[[#This Row],[NETO]]*2%</f>
        <v>0</v>
      </c>
    </row>
    <row r="10" spans="1:26" x14ac:dyDescent="0.3">
      <c r="A10" s="89"/>
      <c r="B10" s="16"/>
      <c r="G10" s="83"/>
      <c r="H10" s="49"/>
      <c r="I10" s="84"/>
      <c r="J10" s="1"/>
      <c r="M10" s="7"/>
      <c r="N10" s="8"/>
      <c r="O10" s="8"/>
      <c r="P10" s="8"/>
      <c r="Q10" s="85"/>
      <c r="R10" s="24"/>
      <c r="S10" s="86"/>
      <c r="T10" s="90">
        <f t="shared" si="0"/>
        <v>0</v>
      </c>
      <c r="U10" s="91">
        <f>Tabla141925[[#This Row],[NETO]]*2%</f>
        <v>0</v>
      </c>
      <c r="Z10" s="82">
        <f>SUM(Z2:Z9)</f>
        <v>0</v>
      </c>
    </row>
    <row r="11" spans="1:26" x14ac:dyDescent="0.3">
      <c r="A11" s="89"/>
      <c r="B11" s="16"/>
      <c r="F11" s="21"/>
      <c r="G11" s="83"/>
      <c r="H11" s="49"/>
      <c r="I11" s="84"/>
      <c r="J11" s="1"/>
      <c r="M11" s="7"/>
      <c r="N11" s="8"/>
      <c r="O11" s="8"/>
      <c r="P11" s="8"/>
      <c r="Q11" s="85"/>
      <c r="R11" s="24"/>
      <c r="S11" s="86"/>
      <c r="T11" s="90">
        <f t="shared" si="0"/>
        <v>0</v>
      </c>
      <c r="U11" s="91">
        <f>Tabla141925[[#This Row],[NETO]]*2%</f>
        <v>0</v>
      </c>
    </row>
    <row r="12" spans="1:26" x14ac:dyDescent="0.3">
      <c r="A12" s="89"/>
      <c r="B12" s="16"/>
      <c r="G12" s="83"/>
      <c r="H12" s="49"/>
      <c r="I12" s="84"/>
      <c r="J12" s="1"/>
      <c r="M12" s="7"/>
      <c r="N12" s="8"/>
      <c r="O12" s="8"/>
      <c r="P12" s="8"/>
      <c r="Q12" s="85"/>
      <c r="R12" s="24"/>
      <c r="S12" s="86"/>
      <c r="T12" s="90">
        <f t="shared" si="0"/>
        <v>0</v>
      </c>
      <c r="U12" s="91">
        <f>Tabla141925[[#This Row],[NETO]]*2%</f>
        <v>0</v>
      </c>
    </row>
    <row r="13" spans="1:26" x14ac:dyDescent="0.3">
      <c r="A13" s="89"/>
      <c r="B13" s="16"/>
      <c r="F13" s="21"/>
      <c r="G13" s="83"/>
      <c r="H13" s="49"/>
      <c r="I13" s="84"/>
      <c r="J13" s="1"/>
      <c r="M13" s="7"/>
      <c r="N13" s="8"/>
      <c r="O13" s="8"/>
      <c r="P13" s="8"/>
      <c r="Q13" s="85"/>
      <c r="R13" s="24"/>
      <c r="S13" s="86"/>
      <c r="T13" s="90">
        <f t="shared" si="0"/>
        <v>0</v>
      </c>
      <c r="U13" s="91">
        <f>Tabla141925[[#This Row],[NETO]]*2%</f>
        <v>0</v>
      </c>
    </row>
    <row r="14" spans="1:26" x14ac:dyDescent="0.3">
      <c r="A14" s="89"/>
      <c r="B14" s="16"/>
      <c r="G14" s="83"/>
      <c r="H14" s="49"/>
      <c r="I14" s="84"/>
      <c r="J14" s="1"/>
      <c r="M14" s="7"/>
      <c r="N14" s="8"/>
      <c r="O14" s="8"/>
      <c r="P14" s="8"/>
      <c r="Q14" s="85"/>
      <c r="R14" s="24"/>
      <c r="S14" s="86"/>
      <c r="T14" s="90">
        <f t="shared" si="0"/>
        <v>0</v>
      </c>
      <c r="U14" s="91">
        <f>Tabla141925[[#This Row],[NETO]]*2%</f>
        <v>0</v>
      </c>
    </row>
    <row r="15" spans="1:26" x14ac:dyDescent="0.3">
      <c r="A15" s="89"/>
      <c r="B15" s="16"/>
      <c r="G15" s="83"/>
      <c r="H15" s="49"/>
      <c r="I15" s="84"/>
      <c r="J15" s="1"/>
      <c r="M15" s="7"/>
      <c r="N15" s="8"/>
      <c r="O15" s="8"/>
      <c r="P15" s="8"/>
      <c r="Q15" s="85"/>
      <c r="R15" s="24"/>
      <c r="S15" s="30"/>
      <c r="T15" s="90">
        <f t="shared" si="0"/>
        <v>0</v>
      </c>
      <c r="U15" s="91">
        <f>Tabla141925[[#This Row],[NETO]]*2%</f>
        <v>0</v>
      </c>
    </row>
    <row r="16" spans="1:26" x14ac:dyDescent="0.3">
      <c r="A16" s="89"/>
      <c r="B16" s="16"/>
      <c r="G16" s="83"/>
      <c r="H16" s="49"/>
      <c r="I16" s="84"/>
      <c r="J16" s="1"/>
      <c r="M16" s="7"/>
      <c r="N16" s="8"/>
      <c r="O16" s="8"/>
      <c r="P16" s="8"/>
      <c r="Q16" s="85"/>
      <c r="R16" s="24"/>
      <c r="S16" s="30"/>
      <c r="T16" s="90">
        <f t="shared" si="0"/>
        <v>0</v>
      </c>
      <c r="U16" s="91">
        <f>Tabla141925[[#This Row],[NETO]]*2%</f>
        <v>0</v>
      </c>
    </row>
    <row r="17" spans="1:21" x14ac:dyDescent="0.3">
      <c r="A17" s="89"/>
      <c r="B17" s="16"/>
      <c r="F17" s="21"/>
      <c r="G17" s="83"/>
      <c r="H17" s="49"/>
      <c r="I17" s="84"/>
      <c r="J17" s="1"/>
      <c r="M17" s="7"/>
      <c r="N17" s="8"/>
      <c r="O17" s="8"/>
      <c r="P17" s="8"/>
      <c r="Q17" s="85"/>
      <c r="R17" s="24"/>
      <c r="S17" s="30"/>
      <c r="T17" s="90">
        <f t="shared" si="0"/>
        <v>0</v>
      </c>
      <c r="U17" s="91">
        <f>Tabla141925[[#This Row],[NETO]]*2%</f>
        <v>0</v>
      </c>
    </row>
    <row r="18" spans="1:21" x14ac:dyDescent="0.3">
      <c r="A18" s="89"/>
      <c r="B18" s="16"/>
      <c r="G18" s="83"/>
      <c r="H18" s="49"/>
      <c r="I18" s="84"/>
      <c r="J18" s="1"/>
      <c r="M18" s="7"/>
      <c r="N18" s="8"/>
      <c r="O18" s="8"/>
      <c r="P18" s="8"/>
      <c r="Q18" s="85"/>
      <c r="R18" s="24"/>
      <c r="S18" s="30"/>
      <c r="T18" s="90">
        <f t="shared" si="0"/>
        <v>0</v>
      </c>
      <c r="U18" s="91">
        <f>Tabla141925[[#This Row],[NETO]]*2%</f>
        <v>0</v>
      </c>
    </row>
    <row r="19" spans="1:21" x14ac:dyDescent="0.3">
      <c r="A19" s="89"/>
      <c r="B19" s="16"/>
      <c r="F19" s="21"/>
      <c r="G19" s="83"/>
      <c r="H19" s="49"/>
      <c r="I19" s="84"/>
      <c r="J19" s="1"/>
      <c r="M19" s="7"/>
      <c r="N19" s="8"/>
      <c r="O19" s="8"/>
      <c r="P19" s="8"/>
      <c r="Q19" s="85"/>
      <c r="R19" s="24"/>
      <c r="S19" s="30"/>
      <c r="T19" s="90">
        <f t="shared" si="0"/>
        <v>0</v>
      </c>
      <c r="U19" s="91">
        <f>Tabla141925[[#This Row],[NETO]]*2%</f>
        <v>0</v>
      </c>
    </row>
    <row r="20" spans="1:21" x14ac:dyDescent="0.3">
      <c r="A20" s="89"/>
      <c r="B20" s="16"/>
      <c r="F20" s="21"/>
      <c r="G20" s="83"/>
      <c r="H20" s="49"/>
      <c r="I20" s="84"/>
      <c r="J20" s="1"/>
      <c r="M20" s="7"/>
      <c r="N20" s="8"/>
      <c r="O20" s="8"/>
      <c r="P20" s="8"/>
      <c r="Q20" s="85"/>
      <c r="R20" s="24"/>
      <c r="S20" s="30"/>
      <c r="T20" s="90">
        <f t="shared" si="0"/>
        <v>0</v>
      </c>
      <c r="U20" s="91">
        <f>Tabla141925[[#This Row],[NETO]]*2%</f>
        <v>0</v>
      </c>
    </row>
    <row r="21" spans="1:21" x14ac:dyDescent="0.3">
      <c r="A21" s="89"/>
      <c r="B21" s="16"/>
      <c r="F21" s="21"/>
      <c r="G21" s="83"/>
      <c r="H21" s="49"/>
      <c r="I21" s="84"/>
      <c r="J21" s="1"/>
      <c r="M21" s="7"/>
      <c r="N21" s="8"/>
      <c r="O21" s="8"/>
      <c r="P21" s="8"/>
      <c r="Q21" s="85"/>
      <c r="R21" s="24"/>
      <c r="S21" s="30"/>
      <c r="T21" s="90">
        <f t="shared" si="0"/>
        <v>0</v>
      </c>
      <c r="U21" s="91">
        <f>Tabla141925[[#This Row],[NETO]]*2%</f>
        <v>0</v>
      </c>
    </row>
    <row r="22" spans="1:21" x14ac:dyDescent="0.3">
      <c r="A22" s="89"/>
      <c r="B22" s="16"/>
      <c r="F22" s="21"/>
      <c r="G22" s="83"/>
      <c r="H22" s="49"/>
      <c r="I22" s="84"/>
      <c r="J22" s="1"/>
      <c r="M22" s="7"/>
      <c r="N22" s="8"/>
      <c r="O22" s="8"/>
      <c r="P22" s="8"/>
      <c r="Q22" s="85"/>
      <c r="R22" s="24"/>
      <c r="S22" s="30"/>
      <c r="T22" s="90">
        <f t="shared" si="0"/>
        <v>0</v>
      </c>
      <c r="U22" s="91">
        <f>Tabla141925[[#This Row],[NETO]]*2%</f>
        <v>0</v>
      </c>
    </row>
    <row r="23" spans="1:21" x14ac:dyDescent="0.3">
      <c r="A23" s="89"/>
      <c r="B23" s="16"/>
      <c r="F23" s="21"/>
      <c r="G23" s="83"/>
      <c r="H23" s="49"/>
      <c r="I23" s="84"/>
      <c r="J23" s="1"/>
      <c r="M23" s="7"/>
      <c r="N23" s="8"/>
      <c r="O23" s="8"/>
      <c r="P23" s="8"/>
      <c r="Q23" s="85"/>
      <c r="R23" s="24"/>
      <c r="S23" s="30"/>
      <c r="T23" s="90">
        <f t="shared" si="0"/>
        <v>0</v>
      </c>
      <c r="U23" s="91">
        <f>Tabla141925[[#This Row],[NETO]]*2%</f>
        <v>0</v>
      </c>
    </row>
    <row r="24" spans="1:21" x14ac:dyDescent="0.3">
      <c r="A24" s="89"/>
      <c r="B24" s="16"/>
      <c r="F24" s="21"/>
      <c r="G24" s="83"/>
      <c r="H24" s="49"/>
      <c r="I24" s="84"/>
      <c r="J24" s="1"/>
      <c r="M24" s="7"/>
      <c r="N24" s="8"/>
      <c r="O24" s="8"/>
      <c r="P24" s="8"/>
      <c r="Q24" s="85"/>
      <c r="R24" s="24"/>
      <c r="S24" s="30"/>
      <c r="T24" s="90">
        <f t="shared" si="0"/>
        <v>0</v>
      </c>
      <c r="U24" s="91">
        <f>Tabla141925[[#This Row],[NETO]]*2%</f>
        <v>0</v>
      </c>
    </row>
    <row r="25" spans="1:21" x14ac:dyDescent="0.3">
      <c r="A25" s="89"/>
      <c r="B25" s="16"/>
      <c r="F25" s="21"/>
      <c r="G25" s="83"/>
      <c r="H25" s="49"/>
      <c r="I25" s="84"/>
      <c r="J25" s="1"/>
      <c r="M25" s="7"/>
      <c r="N25" s="8"/>
      <c r="O25" s="8"/>
      <c r="P25" s="8"/>
      <c r="Q25" s="85"/>
      <c r="R25" s="24"/>
      <c r="S25" s="30"/>
      <c r="T25" s="90">
        <f t="shared" si="0"/>
        <v>0</v>
      </c>
      <c r="U25" s="91">
        <f>Tabla141925[[#This Row],[NETO]]*2%</f>
        <v>0</v>
      </c>
    </row>
    <row r="26" spans="1:21" x14ac:dyDescent="0.3">
      <c r="A26" s="89"/>
      <c r="B26" s="16"/>
      <c r="F26" s="21"/>
      <c r="G26" s="83"/>
      <c r="H26" s="49"/>
      <c r="I26" s="84"/>
      <c r="J26" s="1"/>
      <c r="M26" s="7"/>
      <c r="N26" s="8"/>
      <c r="O26" s="8"/>
      <c r="P26" s="8"/>
      <c r="Q26" s="85"/>
      <c r="R26" s="24"/>
      <c r="S26" s="30"/>
      <c r="T26" s="90">
        <f t="shared" si="0"/>
        <v>0</v>
      </c>
      <c r="U26" s="91">
        <f>Tabla141925[[#This Row],[NETO]]*2%</f>
        <v>0</v>
      </c>
    </row>
    <row r="27" spans="1:21" x14ac:dyDescent="0.3">
      <c r="A27" s="89"/>
      <c r="B27" s="16"/>
      <c r="F27" s="21"/>
      <c r="G27" s="83"/>
      <c r="H27" s="49"/>
      <c r="I27" s="84"/>
      <c r="J27" s="1"/>
      <c r="L27" s="1"/>
      <c r="M27" s="7"/>
      <c r="N27" s="8"/>
      <c r="O27" s="8"/>
      <c r="P27" s="8"/>
      <c r="Q27" s="85"/>
      <c r="R27" s="24"/>
      <c r="S27" s="30"/>
      <c r="T27" s="90">
        <f t="shared" si="0"/>
        <v>0</v>
      </c>
      <c r="U27" s="91">
        <f>Tabla141925[[#This Row],[NETO]]*2%</f>
        <v>0</v>
      </c>
    </row>
    <row r="28" spans="1:21" x14ac:dyDescent="0.3">
      <c r="A28" s="89"/>
      <c r="B28" s="16"/>
      <c r="F28" s="21"/>
      <c r="G28" s="83"/>
      <c r="H28" s="49"/>
      <c r="I28" s="84"/>
      <c r="J28" s="1"/>
      <c r="M28" s="7"/>
      <c r="N28" s="8"/>
      <c r="O28" s="8"/>
      <c r="P28" s="8"/>
      <c r="Q28" s="85"/>
      <c r="R28" s="24"/>
      <c r="S28" s="30"/>
      <c r="T28" s="90">
        <f t="shared" si="0"/>
        <v>0</v>
      </c>
      <c r="U28" s="91">
        <f>Tabla141925[[#This Row],[NETO]]*2%</f>
        <v>0</v>
      </c>
    </row>
    <row r="29" spans="1:21" x14ac:dyDescent="0.3">
      <c r="A29" s="89"/>
      <c r="B29" s="16"/>
      <c r="F29" s="21"/>
      <c r="G29" s="83"/>
      <c r="H29" s="49"/>
      <c r="I29" s="84"/>
      <c r="J29" s="1"/>
      <c r="M29" s="7"/>
      <c r="N29" s="8"/>
      <c r="O29" s="8"/>
      <c r="P29" s="8"/>
      <c r="Q29" s="85"/>
      <c r="R29" s="24"/>
      <c r="S29" s="30"/>
      <c r="T29" s="90">
        <f t="shared" si="0"/>
        <v>0</v>
      </c>
      <c r="U29" s="91">
        <f>Tabla141925[[#This Row],[NETO]]*2%</f>
        <v>0</v>
      </c>
    </row>
    <row r="30" spans="1:21" x14ac:dyDescent="0.3">
      <c r="A30" s="89"/>
      <c r="B30" s="16"/>
      <c r="F30" s="21"/>
      <c r="G30" s="83"/>
      <c r="H30" s="49"/>
      <c r="I30" s="84"/>
      <c r="J30" s="1"/>
      <c r="M30" s="7"/>
      <c r="N30" s="8"/>
      <c r="O30" s="8"/>
      <c r="P30" s="8"/>
      <c r="Q30" s="85"/>
      <c r="R30" s="24"/>
      <c r="S30" s="30"/>
      <c r="T30" s="90">
        <f t="shared" si="0"/>
        <v>0</v>
      </c>
      <c r="U30" s="91">
        <f>Tabla141925[[#This Row],[NETO]]*2%</f>
        <v>0</v>
      </c>
    </row>
    <row r="31" spans="1:21" x14ac:dyDescent="0.3">
      <c r="A31" s="89"/>
      <c r="B31" s="16"/>
      <c r="F31" s="21"/>
      <c r="G31" s="83"/>
      <c r="H31" s="49"/>
      <c r="I31" s="84"/>
      <c r="J31" s="1"/>
      <c r="M31" s="7"/>
      <c r="N31" s="8"/>
      <c r="O31" s="8"/>
      <c r="P31" s="8"/>
      <c r="Q31" s="85"/>
      <c r="R31" s="24"/>
      <c r="S31" s="30"/>
      <c r="T31" s="90">
        <f t="shared" si="0"/>
        <v>0</v>
      </c>
      <c r="U31" s="91">
        <f>Tabla141925[[#This Row],[NETO]]*2%</f>
        <v>0</v>
      </c>
    </row>
    <row r="32" spans="1:21" x14ac:dyDescent="0.3">
      <c r="A32" s="89"/>
      <c r="B32" s="16"/>
      <c r="F32" s="21"/>
      <c r="G32" s="83"/>
      <c r="H32" s="49"/>
      <c r="I32" s="84"/>
      <c r="J32" s="1"/>
      <c r="M32" s="7"/>
      <c r="N32" s="8"/>
      <c r="O32" s="8"/>
      <c r="P32" s="8"/>
      <c r="Q32" s="85"/>
      <c r="R32" s="24"/>
      <c r="S32" s="30"/>
      <c r="T32" s="90">
        <f t="shared" si="0"/>
        <v>0</v>
      </c>
      <c r="U32" s="91">
        <f>Tabla141925[[#This Row],[NETO]]*2%</f>
        <v>0</v>
      </c>
    </row>
    <row r="33" spans="1:25" x14ac:dyDescent="0.3">
      <c r="A33" s="89"/>
      <c r="B33" s="16"/>
      <c r="F33" s="21"/>
      <c r="G33" s="83"/>
      <c r="H33" s="49"/>
      <c r="I33" s="84"/>
      <c r="J33" s="1"/>
      <c r="M33" s="7"/>
      <c r="N33" s="8"/>
      <c r="O33" s="8"/>
      <c r="P33" s="8"/>
      <c r="Q33" s="85"/>
      <c r="R33" s="24"/>
      <c r="S33" s="30"/>
      <c r="T33" s="90">
        <f t="shared" si="0"/>
        <v>0</v>
      </c>
      <c r="U33" s="91">
        <f>Tabla141925[[#This Row],[NETO]]*2%</f>
        <v>0</v>
      </c>
    </row>
    <row r="34" spans="1:25" x14ac:dyDescent="0.3">
      <c r="A34" s="89"/>
      <c r="B34" s="16"/>
      <c r="F34" s="21"/>
      <c r="G34" s="83"/>
      <c r="H34" s="49"/>
      <c r="I34" s="84"/>
      <c r="J34" s="1"/>
      <c r="M34" s="7"/>
      <c r="N34" s="8"/>
      <c r="O34" s="8"/>
      <c r="P34" s="8"/>
      <c r="Q34" s="85"/>
      <c r="R34" s="24"/>
      <c r="S34" s="30"/>
      <c r="T34" s="90">
        <f t="shared" si="0"/>
        <v>0</v>
      </c>
      <c r="U34" s="91">
        <f>Tabla141925[[#This Row],[NETO]]*2%</f>
        <v>0</v>
      </c>
    </row>
    <row r="35" spans="1:25" x14ac:dyDescent="0.3">
      <c r="A35" s="89"/>
      <c r="B35" s="16"/>
      <c r="F35" s="21"/>
      <c r="G35" s="83"/>
      <c r="H35" s="49"/>
      <c r="I35" s="84"/>
      <c r="J35" s="1"/>
      <c r="M35" s="7"/>
      <c r="N35" s="8"/>
      <c r="O35" s="8"/>
      <c r="P35" s="8"/>
      <c r="Q35" s="85"/>
      <c r="R35" s="24"/>
      <c r="S35" s="30"/>
      <c r="T35" s="90">
        <f t="shared" si="0"/>
        <v>0</v>
      </c>
      <c r="U35" s="91">
        <f>Tabla141925[[#This Row],[NETO]]*2%</f>
        <v>0</v>
      </c>
    </row>
    <row r="36" spans="1:25" x14ac:dyDescent="0.3">
      <c r="A36" s="89"/>
      <c r="B36" s="16"/>
      <c r="F36" s="21"/>
      <c r="G36" s="83"/>
      <c r="H36" s="49"/>
      <c r="I36" s="84"/>
      <c r="J36" s="1"/>
      <c r="M36" s="7"/>
      <c r="N36" s="8"/>
      <c r="O36" s="8"/>
      <c r="P36" s="8"/>
      <c r="Q36" s="85"/>
      <c r="R36" s="24"/>
      <c r="S36" s="30"/>
      <c r="T36" s="90">
        <f t="shared" si="0"/>
        <v>0</v>
      </c>
      <c r="U36" s="91">
        <f>Tabla141925[[#This Row],[NETO]]*2%</f>
        <v>0</v>
      </c>
    </row>
    <row r="37" spans="1:25" x14ac:dyDescent="0.3">
      <c r="A37" s="89"/>
      <c r="B37" s="16"/>
      <c r="F37" s="21"/>
      <c r="G37" s="83"/>
      <c r="H37" s="49"/>
      <c r="I37" s="84"/>
      <c r="J37" s="1"/>
      <c r="M37" s="7"/>
      <c r="N37" s="8"/>
      <c r="O37" s="8"/>
      <c r="P37" s="8"/>
      <c r="Q37" s="85"/>
      <c r="R37" s="24"/>
      <c r="S37" s="30"/>
      <c r="T37" s="90">
        <f t="shared" si="0"/>
        <v>0</v>
      </c>
      <c r="U37" s="91">
        <f>Tabla141925[[#This Row],[NETO]]*2%</f>
        <v>0</v>
      </c>
    </row>
    <row r="38" spans="1:25" x14ac:dyDescent="0.3">
      <c r="A38" s="89"/>
      <c r="B38" s="16"/>
      <c r="F38" s="21"/>
      <c r="G38" s="83"/>
      <c r="H38" s="49"/>
      <c r="I38" s="84"/>
      <c r="J38" s="1"/>
      <c r="M38" s="7"/>
      <c r="N38" s="8"/>
      <c r="O38" s="8"/>
      <c r="P38" s="8"/>
      <c r="Q38" s="85"/>
      <c r="R38" s="24"/>
      <c r="S38" s="30"/>
      <c r="T38" s="90">
        <f t="shared" si="0"/>
        <v>0</v>
      </c>
      <c r="U38" s="91">
        <f>Tabla141925[[#This Row],[NETO]]*2%</f>
        <v>0</v>
      </c>
    </row>
    <row r="39" spans="1:25" x14ac:dyDescent="0.3">
      <c r="A39" s="89"/>
      <c r="B39" s="16"/>
      <c r="F39" s="21"/>
      <c r="G39" s="83"/>
      <c r="H39" s="49"/>
      <c r="I39" s="84"/>
      <c r="J39" s="1"/>
      <c r="M39" s="7"/>
      <c r="N39" s="8"/>
      <c r="O39" s="8"/>
      <c r="P39" s="8"/>
      <c r="Q39" s="85"/>
      <c r="R39" s="24"/>
      <c r="S39" s="30"/>
      <c r="T39" s="90">
        <f t="shared" si="0"/>
        <v>0</v>
      </c>
      <c r="U39" s="91">
        <f>Tabla141925[[#This Row],[NETO]]*2%</f>
        <v>0</v>
      </c>
    </row>
    <row r="40" spans="1:25" x14ac:dyDescent="0.3">
      <c r="A40" s="89"/>
      <c r="B40" s="16"/>
      <c r="F40" s="21"/>
      <c r="G40" s="83"/>
      <c r="H40" s="49"/>
      <c r="I40" s="84"/>
      <c r="J40" s="1"/>
      <c r="M40" s="7"/>
      <c r="N40" s="8"/>
      <c r="O40" s="8"/>
      <c r="P40" s="8"/>
      <c r="Q40" s="85"/>
      <c r="R40" s="24"/>
      <c r="S40" s="30"/>
      <c r="T40" s="90">
        <f>S40/1.19</f>
        <v>0</v>
      </c>
      <c r="U40" s="91">
        <f>Tabla141925[[#This Row],[NETO]]*2%</f>
        <v>0</v>
      </c>
    </row>
    <row r="41" spans="1:25" x14ac:dyDescent="0.3">
      <c r="A41" s="89"/>
      <c r="B41" s="16"/>
      <c r="F41" s="21"/>
      <c r="G41" s="83"/>
      <c r="H41" s="49"/>
      <c r="I41" s="84"/>
      <c r="J41" s="1"/>
      <c r="M41" s="7"/>
      <c r="N41" s="8"/>
      <c r="O41" s="8"/>
      <c r="P41" s="8"/>
      <c r="Q41" s="85"/>
      <c r="R41" s="24"/>
      <c r="S41" s="30"/>
      <c r="T41" s="90">
        <f>S41/1.19</f>
        <v>0</v>
      </c>
      <c r="U41" s="91">
        <f>Tabla141925[[#This Row],[NETO]]*2%</f>
        <v>0</v>
      </c>
    </row>
    <row r="42" spans="1:25" x14ac:dyDescent="0.3">
      <c r="A42" s="89"/>
      <c r="B42" s="16"/>
      <c r="F42" s="21"/>
      <c r="G42" s="83"/>
      <c r="H42" s="49"/>
      <c r="I42" s="84"/>
      <c r="J42" s="1"/>
      <c r="M42" s="7"/>
      <c r="N42" s="8"/>
      <c r="O42" s="8"/>
      <c r="P42" s="8"/>
      <c r="Q42" s="85"/>
      <c r="R42" s="24"/>
      <c r="S42" s="30"/>
      <c r="T42" s="90">
        <f>S42/1.19</f>
        <v>0</v>
      </c>
      <c r="U42" s="91">
        <f>Tabla141925[[#This Row],[NETO]]*2%</f>
        <v>0</v>
      </c>
    </row>
    <row r="43" spans="1:25" x14ac:dyDescent="0.3">
      <c r="A43" s="89"/>
      <c r="B43" s="16"/>
      <c r="F43" s="21"/>
      <c r="G43" s="83"/>
      <c r="H43" s="49"/>
      <c r="I43" s="84"/>
      <c r="J43" s="1"/>
      <c r="M43" s="7"/>
      <c r="N43" s="8"/>
      <c r="O43" s="8"/>
      <c r="P43" s="8"/>
      <c r="Q43" s="85"/>
      <c r="R43" s="24"/>
      <c r="S43" s="30"/>
      <c r="T43" s="90">
        <f>S43/1.19</f>
        <v>0</v>
      </c>
      <c r="U43" s="91">
        <f>Tabla141925[[#This Row],[NETO]]*2%</f>
        <v>0</v>
      </c>
    </row>
    <row r="44" spans="1:25" x14ac:dyDescent="0.3">
      <c r="A44" s="89"/>
      <c r="B44" s="16"/>
      <c r="G44" s="83"/>
      <c r="H44" s="49"/>
      <c r="I44" s="84"/>
      <c r="J44" s="1"/>
      <c r="M44" s="7"/>
      <c r="N44" s="8"/>
      <c r="O44" s="8"/>
      <c r="P44" s="8"/>
      <c r="Q44" s="85"/>
      <c r="R44" s="24"/>
      <c r="S44" s="30"/>
      <c r="T44" s="90">
        <f>S44/1.19</f>
        <v>0</v>
      </c>
      <c r="U44" s="91">
        <f>Tabla141925[[#This Row],[NETO]]*2%</f>
        <v>0</v>
      </c>
    </row>
    <row r="45" spans="1:25" x14ac:dyDescent="0.3">
      <c r="A45" s="89"/>
      <c r="B45" s="16"/>
      <c r="F45" s="21"/>
      <c r="G45" s="83"/>
      <c r="H45" s="49"/>
      <c r="I45" s="84"/>
      <c r="J45" s="1"/>
      <c r="M45" s="7"/>
      <c r="N45" s="8"/>
      <c r="O45" s="8"/>
      <c r="P45" s="8"/>
      <c r="Q45" s="85"/>
      <c r="R45" s="24"/>
      <c r="S45" s="30"/>
      <c r="T45" s="90">
        <f t="shared" si="0"/>
        <v>0</v>
      </c>
      <c r="U45" s="91">
        <f>Tabla141925[[#This Row],[NETO]]*2%</f>
        <v>0</v>
      </c>
    </row>
    <row r="46" spans="1:25" x14ac:dyDescent="0.3">
      <c r="A46" s="89"/>
      <c r="B46" s="16"/>
      <c r="F46" s="21"/>
      <c r="G46" s="83"/>
      <c r="H46" s="49"/>
      <c r="I46" s="84"/>
      <c r="J46" s="1"/>
      <c r="M46" s="7"/>
      <c r="N46" s="8"/>
      <c r="O46" s="8"/>
      <c r="P46" s="8"/>
      <c r="Q46" s="85"/>
      <c r="R46" s="24"/>
      <c r="S46" s="30"/>
      <c r="T46" s="90">
        <f t="shared" si="0"/>
        <v>0</v>
      </c>
      <c r="U46" s="91">
        <f>Tabla141925[[#This Row],[NETO]]*2%</f>
        <v>0</v>
      </c>
    </row>
    <row r="47" spans="1:25" x14ac:dyDescent="0.3">
      <c r="A47" s="89"/>
      <c r="B47" s="16"/>
      <c r="F47" s="21"/>
      <c r="G47" s="83"/>
      <c r="H47" s="49"/>
      <c r="I47" s="84"/>
      <c r="J47" s="1"/>
      <c r="M47" s="7"/>
      <c r="N47" s="8"/>
      <c r="O47" s="8"/>
      <c r="P47" s="8"/>
      <c r="Q47" s="85"/>
      <c r="R47" s="24"/>
      <c r="S47" s="30"/>
      <c r="T47" s="90">
        <f t="shared" si="0"/>
        <v>0</v>
      </c>
      <c r="U47" s="91">
        <f>Tabla141925[[#This Row],[NETO]]*2%</f>
        <v>0</v>
      </c>
      <c r="X47" s="127"/>
      <c r="Y47" s="127"/>
    </row>
    <row r="48" spans="1:25" x14ac:dyDescent="0.3">
      <c r="A48" s="89"/>
      <c r="B48" s="16"/>
      <c r="F48" s="21"/>
      <c r="G48" s="83"/>
      <c r="H48" s="49"/>
      <c r="I48" s="84"/>
      <c r="J48" s="1"/>
      <c r="M48" s="7"/>
      <c r="N48" s="8"/>
      <c r="O48" s="8"/>
      <c r="P48" s="8"/>
      <c r="Q48" s="85"/>
      <c r="R48" s="24"/>
      <c r="S48" s="30"/>
      <c r="T48" s="90">
        <f t="shared" si="0"/>
        <v>0</v>
      </c>
      <c r="U48" s="91">
        <f>Tabla141925[[#This Row],[NETO]]*2%</f>
        <v>0</v>
      </c>
      <c r="X48" s="51"/>
      <c r="Y48" s="92"/>
    </row>
    <row r="49" spans="1:25" x14ac:dyDescent="0.3">
      <c r="A49" s="89"/>
      <c r="B49" s="16"/>
      <c r="F49" s="21"/>
      <c r="G49" s="83"/>
      <c r="H49" s="49"/>
      <c r="I49" s="84"/>
      <c r="J49" s="1"/>
      <c r="M49" s="7"/>
      <c r="N49" s="8"/>
      <c r="O49" s="8"/>
      <c r="P49" s="8"/>
      <c r="Q49" s="85"/>
      <c r="R49" s="24"/>
      <c r="S49" s="30"/>
      <c r="T49" s="90">
        <f t="shared" si="0"/>
        <v>0</v>
      </c>
      <c r="U49" s="91">
        <f>Tabla141925[[#This Row],[NETO]]*2%</f>
        <v>0</v>
      </c>
      <c r="X49" s="51"/>
      <c r="Y49" s="92"/>
    </row>
    <row r="50" spans="1:25" ht="15" thickBot="1" x14ac:dyDescent="0.35">
      <c r="A50" s="46" t="s">
        <v>18</v>
      </c>
      <c r="B50" s="17">
        <f>COUNT(B3:B49)</f>
        <v>0</v>
      </c>
      <c r="C50" s="22"/>
      <c r="D50" s="22"/>
      <c r="E50" s="22"/>
      <c r="F50" s="22"/>
      <c r="G50" s="93"/>
      <c r="H50" s="62"/>
      <c r="I50" s="94"/>
      <c r="J50" s="23"/>
      <c r="K50" s="95"/>
      <c r="L50" s="95"/>
      <c r="M50" s="9"/>
      <c r="N50" s="10"/>
      <c r="O50" s="10"/>
      <c r="P50" s="10"/>
      <c r="Q50" s="96"/>
      <c r="R50" s="31"/>
      <c r="S50" s="97">
        <f>SUM(S3:S49)</f>
        <v>0</v>
      </c>
      <c r="T50" s="97">
        <f>SUM(T3:T49)</f>
        <v>0</v>
      </c>
      <c r="U50" s="97">
        <f>Tabla141925[[#This Row],[NETO]]*2%</f>
        <v>0</v>
      </c>
      <c r="X50" s="51"/>
      <c r="Y50" s="92"/>
    </row>
  </sheetData>
  <mergeCells count="5">
    <mergeCell ref="C1:F1"/>
    <mergeCell ref="G1:L1"/>
    <mergeCell ref="M1:Q1"/>
    <mergeCell ref="R1:U1"/>
    <mergeCell ref="X47:Y47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9DFC-A4B8-4AEF-95B3-54B682A73C05}">
  <dimension ref="A1:Z50"/>
  <sheetViews>
    <sheetView topLeftCell="A34" zoomScale="80" zoomScaleNormal="80" workbookViewId="0">
      <selection activeCell="Z3" sqref="X2:Z3"/>
    </sheetView>
  </sheetViews>
  <sheetFormatPr baseColWidth="10" defaultRowHeight="14.4" x14ac:dyDescent="0.3"/>
  <cols>
    <col min="3" max="3" width="20.5546875" bestFit="1" customWidth="1"/>
    <col min="5" max="5" width="12" bestFit="1" customWidth="1"/>
    <col min="13" max="13" width="8.109375" customWidth="1"/>
    <col min="14" max="14" width="7.5546875" customWidth="1"/>
    <col min="15" max="15" width="6.6640625" customWidth="1"/>
    <col min="16" max="16" width="7.88671875" customWidth="1"/>
    <col min="19" max="19" width="15.109375" customWidth="1"/>
    <col min="20" max="20" width="12" bestFit="1" customWidth="1"/>
    <col min="24" max="24" width="12" style="1" customWidth="1"/>
    <col min="25" max="25" width="12" customWidth="1"/>
    <col min="26" max="26" width="12" style="3" customWidth="1"/>
  </cols>
  <sheetData>
    <row r="1" spans="1:26" ht="18" x14ac:dyDescent="0.35">
      <c r="A1" s="2"/>
      <c r="B1" s="15"/>
      <c r="C1" s="120" t="s">
        <v>1</v>
      </c>
      <c r="D1" s="120"/>
      <c r="E1" s="120"/>
      <c r="F1" s="120"/>
      <c r="G1" s="121" t="s">
        <v>6</v>
      </c>
      <c r="H1" s="122"/>
      <c r="I1" s="122"/>
      <c r="J1" s="122"/>
      <c r="K1" s="123"/>
      <c r="L1" s="123"/>
      <c r="M1" s="121" t="s">
        <v>13</v>
      </c>
      <c r="N1" s="122"/>
      <c r="O1" s="122"/>
      <c r="P1" s="122"/>
      <c r="Q1" s="124"/>
      <c r="R1" s="125" t="s">
        <v>24</v>
      </c>
      <c r="S1" s="126"/>
      <c r="T1" s="126"/>
      <c r="U1" s="126"/>
      <c r="X1" s="1" t="s">
        <v>22</v>
      </c>
      <c r="Y1" t="s">
        <v>25</v>
      </c>
      <c r="Z1" s="3" t="s">
        <v>19</v>
      </c>
    </row>
    <row r="2" spans="1:26" x14ac:dyDescent="0.3">
      <c r="A2" s="2" t="s">
        <v>0</v>
      </c>
      <c r="B2" s="16" t="s">
        <v>22</v>
      </c>
      <c r="C2" t="s">
        <v>3</v>
      </c>
      <c r="D2" t="s">
        <v>2</v>
      </c>
      <c r="E2" t="s">
        <v>4</v>
      </c>
      <c r="F2" t="s">
        <v>5</v>
      </c>
      <c r="G2" s="12" t="s">
        <v>7</v>
      </c>
      <c r="H2" t="s">
        <v>8</v>
      </c>
      <c r="I2" s="19" t="s">
        <v>10</v>
      </c>
      <c r="J2" s="1" t="s">
        <v>9</v>
      </c>
      <c r="K2" t="s">
        <v>11</v>
      </c>
      <c r="L2" t="s">
        <v>12</v>
      </c>
      <c r="M2" s="7" t="s">
        <v>14</v>
      </c>
      <c r="N2" s="8" t="s">
        <v>15</v>
      </c>
      <c r="O2" s="8" t="s">
        <v>16</v>
      </c>
      <c r="P2" s="8" t="s">
        <v>17</v>
      </c>
      <c r="Q2" s="18" t="s">
        <v>21</v>
      </c>
      <c r="R2" s="24" t="s">
        <v>23</v>
      </c>
      <c r="S2" s="29" t="s">
        <v>18</v>
      </c>
      <c r="T2" s="26" t="s">
        <v>20</v>
      </c>
      <c r="U2" s="28" t="s">
        <v>19</v>
      </c>
    </row>
    <row r="3" spans="1:26" x14ac:dyDescent="0.3">
      <c r="A3" s="6"/>
      <c r="B3" s="16"/>
      <c r="F3" s="21"/>
      <c r="G3" s="12"/>
      <c r="H3" s="49"/>
      <c r="I3" s="19"/>
      <c r="J3" s="1"/>
      <c r="M3" s="7"/>
      <c r="N3" s="8"/>
      <c r="O3" s="8"/>
      <c r="P3" s="8"/>
      <c r="Q3" s="18"/>
      <c r="R3" s="24"/>
      <c r="S3" s="29"/>
      <c r="T3" s="25">
        <f t="shared" ref="T3:T14" si="0">S3/1.19</f>
        <v>0</v>
      </c>
      <c r="U3" s="27">
        <f>Tabla14[[#This Row],[NETO]]*2%</f>
        <v>0</v>
      </c>
    </row>
    <row r="4" spans="1:26" x14ac:dyDescent="0.3">
      <c r="A4" s="6"/>
      <c r="B4" s="16"/>
      <c r="G4" s="12"/>
      <c r="H4" s="49"/>
      <c r="I4" s="19"/>
      <c r="J4" s="1"/>
      <c r="M4" s="7"/>
      <c r="N4" s="8"/>
      <c r="O4" s="8"/>
      <c r="P4" s="8"/>
      <c r="Q4" s="18"/>
      <c r="R4" s="24"/>
      <c r="S4" s="29"/>
      <c r="T4" s="25">
        <f t="shared" si="0"/>
        <v>0</v>
      </c>
      <c r="U4" s="27">
        <f>Tabla14[[#This Row],[NETO]]*2%</f>
        <v>0</v>
      </c>
    </row>
    <row r="5" spans="1:26" x14ac:dyDescent="0.3">
      <c r="A5" s="6"/>
      <c r="B5" s="16"/>
      <c r="F5" s="21"/>
      <c r="G5" s="12"/>
      <c r="H5" s="49"/>
      <c r="I5" s="19"/>
      <c r="J5" s="1"/>
      <c r="M5" s="7"/>
      <c r="N5" s="8"/>
      <c r="O5" s="8"/>
      <c r="P5" s="8"/>
      <c r="Q5" s="18"/>
      <c r="R5" s="24"/>
      <c r="S5" s="29"/>
      <c r="T5" s="25">
        <f t="shared" si="0"/>
        <v>0</v>
      </c>
      <c r="U5" s="27">
        <f>Tabla14[[#This Row],[NETO]]*2%</f>
        <v>0</v>
      </c>
    </row>
    <row r="6" spans="1:26" x14ac:dyDescent="0.3">
      <c r="A6" s="6"/>
      <c r="B6" s="16"/>
      <c r="F6" s="21"/>
      <c r="G6" s="12"/>
      <c r="H6" s="49"/>
      <c r="I6" s="19"/>
      <c r="J6" s="1"/>
      <c r="M6" s="7"/>
      <c r="N6" s="8"/>
      <c r="O6" s="8"/>
      <c r="P6" s="8"/>
      <c r="Q6" s="18"/>
      <c r="R6" s="24"/>
      <c r="S6" s="29"/>
      <c r="T6" s="25">
        <f t="shared" si="0"/>
        <v>0</v>
      </c>
      <c r="U6" s="27">
        <f>Tabla14[[#This Row],[NETO]]*2%</f>
        <v>0</v>
      </c>
    </row>
    <row r="7" spans="1:26" x14ac:dyDescent="0.3">
      <c r="A7" s="6"/>
      <c r="B7" s="16"/>
      <c r="G7" s="12"/>
      <c r="H7" s="49"/>
      <c r="I7" s="19"/>
      <c r="J7" s="1"/>
      <c r="M7" s="7"/>
      <c r="N7" s="8"/>
      <c r="O7" s="8"/>
      <c r="P7" s="8"/>
      <c r="Q7" s="18"/>
      <c r="R7" s="24"/>
      <c r="S7" s="29"/>
      <c r="T7" s="25">
        <f t="shared" si="0"/>
        <v>0</v>
      </c>
      <c r="U7" s="27">
        <f>Tabla14[[#This Row],[NETO]]*2%</f>
        <v>0</v>
      </c>
    </row>
    <row r="8" spans="1:26" x14ac:dyDescent="0.3">
      <c r="A8" s="6"/>
      <c r="B8" s="16"/>
      <c r="F8" s="21"/>
      <c r="G8" s="12"/>
      <c r="H8" s="49"/>
      <c r="I8" s="19"/>
      <c r="J8" s="1"/>
      <c r="M8" s="7"/>
      <c r="N8" s="8"/>
      <c r="O8" s="8"/>
      <c r="P8" s="8"/>
      <c r="Q8" s="18"/>
      <c r="R8" s="24"/>
      <c r="S8" s="29"/>
      <c r="T8" s="25">
        <f t="shared" si="0"/>
        <v>0</v>
      </c>
      <c r="U8" s="27">
        <f>Tabla14[[#This Row],[NETO]]*2%</f>
        <v>0</v>
      </c>
    </row>
    <row r="9" spans="1:26" x14ac:dyDescent="0.3">
      <c r="A9" s="6"/>
      <c r="B9" s="16"/>
      <c r="G9" s="12"/>
      <c r="H9" s="49"/>
      <c r="I9" s="19"/>
      <c r="J9" s="1"/>
      <c r="M9" s="7"/>
      <c r="N9" s="8"/>
      <c r="O9" s="8"/>
      <c r="P9" s="8"/>
      <c r="Q9" s="18"/>
      <c r="R9" s="24"/>
      <c r="S9" s="29"/>
      <c r="T9" s="25">
        <f t="shared" si="0"/>
        <v>0</v>
      </c>
      <c r="U9" s="27">
        <f>Tabla14[[#This Row],[NETO]]*2%</f>
        <v>0</v>
      </c>
    </row>
    <row r="10" spans="1:26" x14ac:dyDescent="0.3">
      <c r="A10" s="6"/>
      <c r="B10" s="16"/>
      <c r="G10" s="12"/>
      <c r="H10" s="49"/>
      <c r="I10" s="19"/>
      <c r="J10" s="1"/>
      <c r="M10" s="7"/>
      <c r="N10" s="8"/>
      <c r="O10" s="8"/>
      <c r="P10" s="8"/>
      <c r="Q10" s="18"/>
      <c r="R10" s="24"/>
      <c r="S10" s="29"/>
      <c r="T10" s="25">
        <f t="shared" si="0"/>
        <v>0</v>
      </c>
      <c r="U10" s="27">
        <f>Tabla14[[#This Row],[NETO]]*2%</f>
        <v>0</v>
      </c>
      <c r="Z10" s="3">
        <f>SUM(Z2:Z9)</f>
        <v>0</v>
      </c>
    </row>
    <row r="11" spans="1:26" x14ac:dyDescent="0.3">
      <c r="A11" s="6"/>
      <c r="B11" s="16"/>
      <c r="F11" s="21"/>
      <c r="G11" s="12"/>
      <c r="H11" s="49"/>
      <c r="I11" s="19"/>
      <c r="J11" s="1"/>
      <c r="M11" s="7"/>
      <c r="N11" s="8"/>
      <c r="O11" s="8"/>
      <c r="P11" s="8"/>
      <c r="Q11" s="18"/>
      <c r="R11" s="24"/>
      <c r="S11" s="29"/>
      <c r="T11" s="25">
        <f t="shared" si="0"/>
        <v>0</v>
      </c>
      <c r="U11" s="27">
        <f>Tabla14[[#This Row],[NETO]]*2%</f>
        <v>0</v>
      </c>
    </row>
    <row r="12" spans="1:26" x14ac:dyDescent="0.3">
      <c r="A12" s="6"/>
      <c r="B12" s="16"/>
      <c r="G12" s="12"/>
      <c r="H12" s="49"/>
      <c r="I12" s="19"/>
      <c r="J12" s="1"/>
      <c r="M12" s="7"/>
      <c r="N12" s="8"/>
      <c r="O12" s="8"/>
      <c r="P12" s="8"/>
      <c r="Q12" s="18"/>
      <c r="R12" s="24"/>
      <c r="S12" s="29"/>
      <c r="T12" s="25">
        <f t="shared" si="0"/>
        <v>0</v>
      </c>
      <c r="U12" s="27">
        <f>Tabla14[[#This Row],[NETO]]*2%</f>
        <v>0</v>
      </c>
    </row>
    <row r="13" spans="1:26" x14ac:dyDescent="0.3">
      <c r="A13" s="6"/>
      <c r="B13" s="16"/>
      <c r="F13" s="21"/>
      <c r="G13" s="12"/>
      <c r="H13" s="49"/>
      <c r="I13" s="19"/>
      <c r="J13" s="1"/>
      <c r="M13" s="7"/>
      <c r="N13" s="8"/>
      <c r="O13" s="8"/>
      <c r="P13" s="8"/>
      <c r="Q13" s="18"/>
      <c r="R13" s="24"/>
      <c r="S13" s="29"/>
      <c r="T13" s="25">
        <f t="shared" si="0"/>
        <v>0</v>
      </c>
      <c r="U13" s="27">
        <f>Tabla14[[#This Row],[NETO]]*2%</f>
        <v>0</v>
      </c>
    </row>
    <row r="14" spans="1:26" x14ac:dyDescent="0.3">
      <c r="A14" s="6"/>
      <c r="B14" s="16"/>
      <c r="G14" s="12"/>
      <c r="H14" s="49"/>
      <c r="I14" s="19"/>
      <c r="J14" s="1"/>
      <c r="M14" s="7"/>
      <c r="N14" s="8"/>
      <c r="O14" s="8"/>
      <c r="P14" s="8"/>
      <c r="Q14" s="18"/>
      <c r="R14" s="24"/>
      <c r="S14" s="29"/>
      <c r="T14" s="25">
        <f t="shared" si="0"/>
        <v>0</v>
      </c>
      <c r="U14" s="27">
        <f>Tabla14[[#This Row],[NETO]]*2%</f>
        <v>0</v>
      </c>
    </row>
    <row r="15" spans="1:26" x14ac:dyDescent="0.3">
      <c r="A15" s="6"/>
      <c r="B15" s="16"/>
      <c r="G15" s="12"/>
      <c r="H15" s="49"/>
      <c r="I15" s="19"/>
      <c r="J15" s="1"/>
      <c r="M15" s="7"/>
      <c r="N15" s="8"/>
      <c r="O15" s="8"/>
      <c r="P15" s="8"/>
      <c r="Q15" s="18"/>
      <c r="R15" s="24"/>
      <c r="S15" s="30"/>
      <c r="T15" s="25">
        <f t="shared" ref="T15:T49" si="1">S15/1.19</f>
        <v>0</v>
      </c>
      <c r="U15" s="27">
        <f>Tabla14[[#This Row],[NETO]]*2%</f>
        <v>0</v>
      </c>
    </row>
    <row r="16" spans="1:26" x14ac:dyDescent="0.3">
      <c r="A16" s="6"/>
      <c r="B16" s="16"/>
      <c r="G16" s="12"/>
      <c r="H16" s="49"/>
      <c r="I16" s="19"/>
      <c r="J16" s="1"/>
      <c r="M16" s="7"/>
      <c r="N16" s="8"/>
      <c r="O16" s="8"/>
      <c r="P16" s="8"/>
      <c r="Q16" s="18"/>
      <c r="R16" s="24"/>
      <c r="S16" s="30"/>
      <c r="T16" s="25">
        <f t="shared" si="1"/>
        <v>0</v>
      </c>
      <c r="U16" s="27">
        <f>Tabla14[[#This Row],[NETO]]*2%</f>
        <v>0</v>
      </c>
    </row>
    <row r="17" spans="1:21" x14ac:dyDescent="0.3">
      <c r="A17" s="6"/>
      <c r="B17" s="16"/>
      <c r="F17" s="21"/>
      <c r="G17" s="12"/>
      <c r="H17" s="49"/>
      <c r="I17" s="19"/>
      <c r="J17" s="1"/>
      <c r="M17" s="7"/>
      <c r="N17" s="8"/>
      <c r="O17" s="8"/>
      <c r="P17" s="8"/>
      <c r="Q17" s="18"/>
      <c r="R17" s="24"/>
      <c r="S17" s="30"/>
      <c r="T17" s="25">
        <f t="shared" si="1"/>
        <v>0</v>
      </c>
      <c r="U17" s="27">
        <f>Tabla14[[#This Row],[NETO]]*2%</f>
        <v>0</v>
      </c>
    </row>
    <row r="18" spans="1:21" x14ac:dyDescent="0.3">
      <c r="A18" s="6"/>
      <c r="B18" s="16"/>
      <c r="G18" s="12"/>
      <c r="H18" s="49"/>
      <c r="I18" s="19"/>
      <c r="J18" s="1"/>
      <c r="M18" s="7"/>
      <c r="N18" s="8"/>
      <c r="O18" s="8"/>
      <c r="P18" s="8"/>
      <c r="Q18" s="18"/>
      <c r="R18" s="24"/>
      <c r="S18" s="30"/>
      <c r="T18" s="25">
        <f t="shared" si="1"/>
        <v>0</v>
      </c>
      <c r="U18" s="27">
        <f>Tabla14[[#This Row],[NETO]]*2%</f>
        <v>0</v>
      </c>
    </row>
    <row r="19" spans="1:21" x14ac:dyDescent="0.3">
      <c r="A19" s="6"/>
      <c r="B19" s="16"/>
      <c r="F19" s="21"/>
      <c r="G19" s="12"/>
      <c r="H19" s="49"/>
      <c r="I19" s="19"/>
      <c r="J19" s="1"/>
      <c r="M19" s="7"/>
      <c r="N19" s="8"/>
      <c r="O19" s="8"/>
      <c r="P19" s="8"/>
      <c r="Q19" s="18"/>
      <c r="R19" s="24"/>
      <c r="S19" s="30"/>
      <c r="T19" s="25">
        <f t="shared" si="1"/>
        <v>0</v>
      </c>
      <c r="U19" s="27">
        <f>Tabla14[[#This Row],[NETO]]*2%</f>
        <v>0</v>
      </c>
    </row>
    <row r="20" spans="1:21" x14ac:dyDescent="0.3">
      <c r="A20" s="6"/>
      <c r="B20" s="16"/>
      <c r="F20" s="21"/>
      <c r="G20" s="12"/>
      <c r="H20" s="49"/>
      <c r="I20" s="19"/>
      <c r="J20" s="1"/>
      <c r="M20" s="7"/>
      <c r="N20" s="8"/>
      <c r="O20" s="8"/>
      <c r="P20" s="8"/>
      <c r="Q20" s="18"/>
      <c r="R20" s="24"/>
      <c r="S20" s="30"/>
      <c r="T20" s="25">
        <f t="shared" si="1"/>
        <v>0</v>
      </c>
      <c r="U20" s="27">
        <f>Tabla14[[#This Row],[NETO]]*2%</f>
        <v>0</v>
      </c>
    </row>
    <row r="21" spans="1:21" x14ac:dyDescent="0.3">
      <c r="A21" s="6"/>
      <c r="B21" s="16"/>
      <c r="F21" s="21"/>
      <c r="G21" s="12"/>
      <c r="H21" s="49"/>
      <c r="I21" s="19"/>
      <c r="J21" s="1"/>
      <c r="M21" s="7"/>
      <c r="N21" s="8"/>
      <c r="O21" s="8"/>
      <c r="P21" s="8"/>
      <c r="Q21" s="18"/>
      <c r="R21" s="24"/>
      <c r="S21" s="30"/>
      <c r="T21" s="25">
        <f t="shared" si="1"/>
        <v>0</v>
      </c>
      <c r="U21" s="27">
        <f>Tabla14[[#This Row],[NETO]]*2%</f>
        <v>0</v>
      </c>
    </row>
    <row r="22" spans="1:21" x14ac:dyDescent="0.3">
      <c r="A22" s="6"/>
      <c r="B22" s="16"/>
      <c r="F22" s="21"/>
      <c r="G22" s="12"/>
      <c r="H22" s="49"/>
      <c r="I22" s="19"/>
      <c r="J22" s="1"/>
      <c r="M22" s="7"/>
      <c r="N22" s="8"/>
      <c r="O22" s="8"/>
      <c r="P22" s="8"/>
      <c r="Q22" s="18"/>
      <c r="R22" s="24"/>
      <c r="S22" s="30"/>
      <c r="T22" s="25">
        <f t="shared" si="1"/>
        <v>0</v>
      </c>
      <c r="U22" s="27">
        <f>Tabla14[[#This Row],[NETO]]*2%</f>
        <v>0</v>
      </c>
    </row>
    <row r="23" spans="1:21" x14ac:dyDescent="0.3">
      <c r="A23" s="6"/>
      <c r="B23" s="16"/>
      <c r="F23" s="21"/>
      <c r="G23" s="12"/>
      <c r="H23" s="49"/>
      <c r="I23" s="19"/>
      <c r="J23" s="1"/>
      <c r="M23" s="7"/>
      <c r="N23" s="8"/>
      <c r="O23" s="8"/>
      <c r="P23" s="8"/>
      <c r="Q23" s="18"/>
      <c r="R23" s="24"/>
      <c r="S23" s="30"/>
      <c r="T23" s="25">
        <f t="shared" si="1"/>
        <v>0</v>
      </c>
      <c r="U23" s="27">
        <f>Tabla14[[#This Row],[NETO]]*2%</f>
        <v>0</v>
      </c>
    </row>
    <row r="24" spans="1:21" x14ac:dyDescent="0.3">
      <c r="A24" s="6"/>
      <c r="B24" s="16"/>
      <c r="F24" s="21"/>
      <c r="G24" s="12"/>
      <c r="H24" s="49"/>
      <c r="I24" s="19"/>
      <c r="J24" s="1"/>
      <c r="M24" s="7"/>
      <c r="N24" s="8"/>
      <c r="O24" s="8"/>
      <c r="P24" s="8"/>
      <c r="Q24" s="18"/>
      <c r="R24" s="24"/>
      <c r="S24" s="30"/>
      <c r="T24" s="25">
        <f t="shared" si="1"/>
        <v>0</v>
      </c>
      <c r="U24" s="27">
        <f>Tabla14[[#This Row],[NETO]]*2%</f>
        <v>0</v>
      </c>
    </row>
    <row r="25" spans="1:21" x14ac:dyDescent="0.3">
      <c r="A25" s="6"/>
      <c r="B25" s="16"/>
      <c r="F25" s="21"/>
      <c r="G25" s="12"/>
      <c r="H25" s="49"/>
      <c r="I25" s="19"/>
      <c r="J25" s="1"/>
      <c r="M25" s="7"/>
      <c r="N25" s="8"/>
      <c r="O25" s="8"/>
      <c r="P25" s="8"/>
      <c r="Q25" s="18"/>
      <c r="R25" s="24"/>
      <c r="S25" s="30"/>
      <c r="T25" s="25">
        <f t="shared" si="1"/>
        <v>0</v>
      </c>
      <c r="U25" s="27">
        <f>Tabla14[[#This Row],[NETO]]*2%</f>
        <v>0</v>
      </c>
    </row>
    <row r="26" spans="1:21" x14ac:dyDescent="0.3">
      <c r="A26" s="6"/>
      <c r="B26" s="16"/>
      <c r="F26" s="21"/>
      <c r="G26" s="12"/>
      <c r="H26" s="49"/>
      <c r="I26" s="19"/>
      <c r="J26" s="1"/>
      <c r="M26" s="7"/>
      <c r="N26" s="8"/>
      <c r="O26" s="8"/>
      <c r="P26" s="8"/>
      <c r="Q26" s="18"/>
      <c r="R26" s="24"/>
      <c r="S26" s="30"/>
      <c r="T26" s="25">
        <f t="shared" si="1"/>
        <v>0</v>
      </c>
      <c r="U26" s="27">
        <f>Tabla14[[#This Row],[NETO]]*2%</f>
        <v>0</v>
      </c>
    </row>
    <row r="27" spans="1:21" x14ac:dyDescent="0.3">
      <c r="A27" s="6"/>
      <c r="B27" s="16"/>
      <c r="F27" s="21"/>
      <c r="G27" s="12"/>
      <c r="H27" s="49"/>
      <c r="I27" s="19"/>
      <c r="J27" s="1"/>
      <c r="L27" s="1"/>
      <c r="M27" s="7"/>
      <c r="N27" s="8"/>
      <c r="O27" s="8"/>
      <c r="P27" s="8"/>
      <c r="Q27" s="18"/>
      <c r="R27" s="24"/>
      <c r="S27" s="30"/>
      <c r="T27" s="25">
        <f t="shared" si="1"/>
        <v>0</v>
      </c>
      <c r="U27" s="27">
        <f>Tabla14[[#This Row],[NETO]]*2%</f>
        <v>0</v>
      </c>
    </row>
    <row r="28" spans="1:21" x14ac:dyDescent="0.3">
      <c r="A28" s="6"/>
      <c r="B28" s="16"/>
      <c r="F28" s="21"/>
      <c r="G28" s="12"/>
      <c r="H28" s="49"/>
      <c r="I28" s="19"/>
      <c r="J28" s="1"/>
      <c r="M28" s="7"/>
      <c r="N28" s="8"/>
      <c r="O28" s="8"/>
      <c r="P28" s="8"/>
      <c r="Q28" s="18"/>
      <c r="R28" s="24"/>
      <c r="S28" s="30"/>
      <c r="T28" s="25">
        <f t="shared" si="1"/>
        <v>0</v>
      </c>
      <c r="U28" s="27">
        <f>Tabla14[[#This Row],[NETO]]*2%</f>
        <v>0</v>
      </c>
    </row>
    <row r="29" spans="1:21" x14ac:dyDescent="0.3">
      <c r="A29" s="6"/>
      <c r="B29" s="16"/>
      <c r="F29" s="21"/>
      <c r="G29" s="12"/>
      <c r="H29" s="49"/>
      <c r="I29" s="19"/>
      <c r="J29" s="1"/>
      <c r="M29" s="7"/>
      <c r="N29" s="8"/>
      <c r="O29" s="8"/>
      <c r="P29" s="8"/>
      <c r="Q29" s="18"/>
      <c r="R29" s="24"/>
      <c r="S29" s="30"/>
      <c r="T29" s="25">
        <f t="shared" si="1"/>
        <v>0</v>
      </c>
      <c r="U29" s="27">
        <f>Tabla14[[#This Row],[NETO]]*2%</f>
        <v>0</v>
      </c>
    </row>
    <row r="30" spans="1:21" x14ac:dyDescent="0.3">
      <c r="A30" s="6"/>
      <c r="B30" s="16"/>
      <c r="F30" s="21"/>
      <c r="G30" s="12"/>
      <c r="H30" s="49"/>
      <c r="I30" s="19"/>
      <c r="J30" s="1"/>
      <c r="M30" s="7"/>
      <c r="N30" s="8"/>
      <c r="O30" s="8"/>
      <c r="P30" s="8"/>
      <c r="Q30" s="18"/>
      <c r="R30" s="24"/>
      <c r="S30" s="30"/>
      <c r="T30" s="25">
        <f t="shared" si="1"/>
        <v>0</v>
      </c>
      <c r="U30" s="27">
        <f>Tabla14[[#This Row],[NETO]]*2%</f>
        <v>0</v>
      </c>
    </row>
    <row r="31" spans="1:21" x14ac:dyDescent="0.3">
      <c r="A31" s="6"/>
      <c r="B31" s="16"/>
      <c r="F31" s="21"/>
      <c r="G31" s="12"/>
      <c r="H31" s="49"/>
      <c r="I31" s="19"/>
      <c r="J31" s="1"/>
      <c r="M31" s="7"/>
      <c r="N31" s="8"/>
      <c r="O31" s="8"/>
      <c r="P31" s="8"/>
      <c r="Q31" s="18"/>
      <c r="R31" s="24"/>
      <c r="S31" s="30"/>
      <c r="T31" s="25">
        <f t="shared" si="1"/>
        <v>0</v>
      </c>
      <c r="U31" s="27">
        <f>Tabla14[[#This Row],[NETO]]*2%</f>
        <v>0</v>
      </c>
    </row>
    <row r="32" spans="1:21" x14ac:dyDescent="0.3">
      <c r="A32" s="6"/>
      <c r="B32" s="16"/>
      <c r="F32" s="21"/>
      <c r="G32" s="12"/>
      <c r="H32" s="49"/>
      <c r="I32" s="19"/>
      <c r="J32" s="1"/>
      <c r="M32" s="7"/>
      <c r="N32" s="8"/>
      <c r="O32" s="8"/>
      <c r="P32" s="8"/>
      <c r="Q32" s="18"/>
      <c r="R32" s="24"/>
      <c r="S32" s="30"/>
      <c r="T32" s="25">
        <f t="shared" si="1"/>
        <v>0</v>
      </c>
      <c r="U32" s="27">
        <f>Tabla14[[#This Row],[NETO]]*2%</f>
        <v>0</v>
      </c>
    </row>
    <row r="33" spans="1:25" x14ac:dyDescent="0.3">
      <c r="A33" s="6"/>
      <c r="B33" s="16"/>
      <c r="F33" s="21"/>
      <c r="G33" s="12"/>
      <c r="H33" s="49"/>
      <c r="I33" s="19"/>
      <c r="J33" s="1"/>
      <c r="M33" s="7"/>
      <c r="N33" s="8"/>
      <c r="O33" s="8"/>
      <c r="P33" s="8"/>
      <c r="Q33" s="18"/>
      <c r="R33" s="24"/>
      <c r="S33" s="30"/>
      <c r="T33" s="25">
        <f t="shared" si="1"/>
        <v>0</v>
      </c>
      <c r="U33" s="27">
        <f>Tabla14[[#This Row],[NETO]]*2%</f>
        <v>0</v>
      </c>
    </row>
    <row r="34" spans="1:25" x14ac:dyDescent="0.3">
      <c r="A34" s="6"/>
      <c r="B34" s="16"/>
      <c r="F34" s="21"/>
      <c r="G34" s="12"/>
      <c r="H34" s="49"/>
      <c r="I34" s="19"/>
      <c r="J34" s="1"/>
      <c r="M34" s="7"/>
      <c r="N34" s="8"/>
      <c r="O34" s="8"/>
      <c r="P34" s="8"/>
      <c r="Q34" s="18"/>
      <c r="R34" s="24"/>
      <c r="S34" s="30"/>
      <c r="T34" s="25">
        <f t="shared" si="1"/>
        <v>0</v>
      </c>
      <c r="U34" s="27">
        <f>Tabla14[[#This Row],[NETO]]*2%</f>
        <v>0</v>
      </c>
    </row>
    <row r="35" spans="1:25" x14ac:dyDescent="0.3">
      <c r="A35" s="6"/>
      <c r="B35" s="16"/>
      <c r="F35" s="21"/>
      <c r="G35" s="12"/>
      <c r="H35" s="49"/>
      <c r="I35" s="19"/>
      <c r="J35" s="1"/>
      <c r="M35" s="7"/>
      <c r="N35" s="8"/>
      <c r="O35" s="8"/>
      <c r="P35" s="8"/>
      <c r="Q35" s="18"/>
      <c r="R35" s="24"/>
      <c r="S35" s="30"/>
      <c r="T35" s="25">
        <f t="shared" si="1"/>
        <v>0</v>
      </c>
      <c r="U35" s="27">
        <f>Tabla14[[#This Row],[NETO]]*2%</f>
        <v>0</v>
      </c>
    </row>
    <row r="36" spans="1:25" x14ac:dyDescent="0.3">
      <c r="A36" s="6"/>
      <c r="B36" s="16"/>
      <c r="F36" s="21"/>
      <c r="G36" s="12"/>
      <c r="H36" s="49"/>
      <c r="I36" s="19"/>
      <c r="J36" s="1"/>
      <c r="M36" s="7"/>
      <c r="N36" s="8"/>
      <c r="O36" s="8"/>
      <c r="P36" s="8"/>
      <c r="Q36" s="18"/>
      <c r="R36" s="24"/>
      <c r="S36" s="30"/>
      <c r="T36" s="25">
        <f t="shared" si="1"/>
        <v>0</v>
      </c>
      <c r="U36" s="27">
        <f>Tabla14[[#This Row],[NETO]]*2%</f>
        <v>0</v>
      </c>
    </row>
    <row r="37" spans="1:25" x14ac:dyDescent="0.3">
      <c r="A37" s="6"/>
      <c r="B37" s="16"/>
      <c r="F37" s="21"/>
      <c r="G37" s="12"/>
      <c r="H37" s="49"/>
      <c r="I37" s="19"/>
      <c r="J37" s="1"/>
      <c r="M37" s="7"/>
      <c r="N37" s="8"/>
      <c r="O37" s="8"/>
      <c r="P37" s="8"/>
      <c r="Q37" s="18"/>
      <c r="R37" s="24"/>
      <c r="S37" s="30"/>
      <c r="T37" s="25">
        <f t="shared" si="1"/>
        <v>0</v>
      </c>
      <c r="U37" s="27">
        <f>Tabla14[[#This Row],[NETO]]*2%</f>
        <v>0</v>
      </c>
    </row>
    <row r="38" spans="1:25" x14ac:dyDescent="0.3">
      <c r="A38" s="6"/>
      <c r="B38" s="16"/>
      <c r="F38" s="21"/>
      <c r="G38" s="12"/>
      <c r="H38" s="49"/>
      <c r="I38" s="19"/>
      <c r="J38" s="1"/>
      <c r="M38" s="7"/>
      <c r="N38" s="8"/>
      <c r="O38" s="8"/>
      <c r="P38" s="8"/>
      <c r="Q38" s="18"/>
      <c r="R38" s="24"/>
      <c r="S38" s="30"/>
      <c r="T38" s="25">
        <f t="shared" si="1"/>
        <v>0</v>
      </c>
      <c r="U38" s="27">
        <f>Tabla14[[#This Row],[NETO]]*2%</f>
        <v>0</v>
      </c>
    </row>
    <row r="39" spans="1:25" x14ac:dyDescent="0.3">
      <c r="A39" s="6"/>
      <c r="B39" s="16"/>
      <c r="F39" s="21"/>
      <c r="G39" s="12"/>
      <c r="H39" s="49"/>
      <c r="I39" s="19"/>
      <c r="J39" s="1"/>
      <c r="M39" s="7"/>
      <c r="N39" s="8"/>
      <c r="O39" s="8"/>
      <c r="P39" s="8"/>
      <c r="Q39" s="18"/>
      <c r="R39" s="24"/>
      <c r="S39" s="30"/>
      <c r="T39" s="25">
        <f t="shared" si="1"/>
        <v>0</v>
      </c>
      <c r="U39" s="27">
        <f>Tabla14[[#This Row],[NETO]]*2%</f>
        <v>0</v>
      </c>
    </row>
    <row r="40" spans="1:25" x14ac:dyDescent="0.3">
      <c r="A40" s="6"/>
      <c r="B40" s="16"/>
      <c r="F40" s="21"/>
      <c r="G40" s="12"/>
      <c r="H40" s="49"/>
      <c r="I40" s="19"/>
      <c r="J40" s="1"/>
      <c r="M40" s="7"/>
      <c r="N40" s="8"/>
      <c r="O40" s="8"/>
      <c r="P40" s="8"/>
      <c r="Q40" s="18"/>
      <c r="R40" s="24"/>
      <c r="S40" s="30"/>
      <c r="T40" s="25">
        <f>S40/1.19</f>
        <v>0</v>
      </c>
      <c r="U40" s="27">
        <f>Tabla14[[#This Row],[NETO]]*2%</f>
        <v>0</v>
      </c>
    </row>
    <row r="41" spans="1:25" x14ac:dyDescent="0.3">
      <c r="A41" s="6"/>
      <c r="B41" s="16"/>
      <c r="F41" s="21"/>
      <c r="G41" s="12"/>
      <c r="H41" s="49"/>
      <c r="I41" s="19"/>
      <c r="J41" s="1"/>
      <c r="M41" s="7"/>
      <c r="N41" s="8"/>
      <c r="O41" s="8"/>
      <c r="P41" s="8"/>
      <c r="Q41" s="18"/>
      <c r="R41" s="24"/>
      <c r="S41" s="30"/>
      <c r="T41" s="25">
        <f>S41/1.19</f>
        <v>0</v>
      </c>
      <c r="U41" s="27">
        <f>Tabla14[[#This Row],[NETO]]*2%</f>
        <v>0</v>
      </c>
    </row>
    <row r="42" spans="1:25" x14ac:dyDescent="0.3">
      <c r="A42" s="6"/>
      <c r="B42" s="16"/>
      <c r="F42" s="21"/>
      <c r="G42" s="12"/>
      <c r="H42" s="49"/>
      <c r="I42" s="19"/>
      <c r="J42" s="1"/>
      <c r="M42" s="7"/>
      <c r="N42" s="8"/>
      <c r="O42" s="8"/>
      <c r="P42" s="8"/>
      <c r="Q42" s="18"/>
      <c r="R42" s="24"/>
      <c r="S42" s="30"/>
      <c r="T42" s="25">
        <f>S42/1.19</f>
        <v>0</v>
      </c>
      <c r="U42" s="27">
        <f>Tabla14[[#This Row],[NETO]]*2%</f>
        <v>0</v>
      </c>
    </row>
    <row r="43" spans="1:25" x14ac:dyDescent="0.3">
      <c r="A43" s="6"/>
      <c r="B43" s="16"/>
      <c r="F43" s="21"/>
      <c r="G43" s="12"/>
      <c r="H43" s="49"/>
      <c r="I43" s="19"/>
      <c r="J43" s="1"/>
      <c r="M43" s="7"/>
      <c r="N43" s="8"/>
      <c r="O43" s="8"/>
      <c r="P43" s="8"/>
      <c r="Q43" s="18"/>
      <c r="R43" s="24"/>
      <c r="S43" s="30"/>
      <c r="T43" s="25">
        <f>S43/1.19</f>
        <v>0</v>
      </c>
      <c r="U43" s="27">
        <f>Tabla14[[#This Row],[NETO]]*2%</f>
        <v>0</v>
      </c>
    </row>
    <row r="44" spans="1:25" x14ac:dyDescent="0.3">
      <c r="A44" s="6"/>
      <c r="B44" s="16"/>
      <c r="G44" s="12"/>
      <c r="H44" s="49"/>
      <c r="I44" s="19"/>
      <c r="J44" s="1"/>
      <c r="M44" s="7"/>
      <c r="N44" s="8"/>
      <c r="O44" s="8"/>
      <c r="P44" s="8"/>
      <c r="Q44" s="18"/>
      <c r="R44" s="24"/>
      <c r="S44" s="30"/>
      <c r="T44" s="25">
        <f>S44/1.19</f>
        <v>0</v>
      </c>
      <c r="U44" s="27">
        <f>Tabla14[[#This Row],[NETO]]*2%</f>
        <v>0</v>
      </c>
    </row>
    <row r="45" spans="1:25" x14ac:dyDescent="0.3">
      <c r="A45" s="6"/>
      <c r="B45" s="16"/>
      <c r="F45" s="21"/>
      <c r="G45" s="12"/>
      <c r="H45" s="49"/>
      <c r="I45" s="19"/>
      <c r="J45" s="1"/>
      <c r="M45" s="7"/>
      <c r="N45" s="8"/>
      <c r="O45" s="8"/>
      <c r="P45" s="8"/>
      <c r="Q45" s="18"/>
      <c r="R45" s="24"/>
      <c r="S45" s="30"/>
      <c r="T45" s="25">
        <f t="shared" si="1"/>
        <v>0</v>
      </c>
      <c r="U45" s="27">
        <f>Tabla14[[#This Row],[NETO]]*2%</f>
        <v>0</v>
      </c>
    </row>
    <row r="46" spans="1:25" x14ac:dyDescent="0.3">
      <c r="A46" s="6"/>
      <c r="B46" s="16"/>
      <c r="F46" s="21"/>
      <c r="G46" s="12"/>
      <c r="H46" s="49"/>
      <c r="I46" s="19"/>
      <c r="J46" s="1"/>
      <c r="M46" s="7"/>
      <c r="N46" s="8"/>
      <c r="O46" s="8"/>
      <c r="P46" s="8"/>
      <c r="Q46" s="18"/>
      <c r="R46" s="24"/>
      <c r="S46" s="30"/>
      <c r="T46" s="25">
        <f t="shared" si="1"/>
        <v>0</v>
      </c>
      <c r="U46" s="27">
        <f>Tabla14[[#This Row],[NETO]]*2%</f>
        <v>0</v>
      </c>
    </row>
    <row r="47" spans="1:25" x14ac:dyDescent="0.3">
      <c r="A47" s="6"/>
      <c r="B47" s="16"/>
      <c r="F47" s="21"/>
      <c r="G47" s="12"/>
      <c r="H47" s="49"/>
      <c r="I47" s="19"/>
      <c r="J47" s="1"/>
      <c r="M47" s="7"/>
      <c r="N47" s="8"/>
      <c r="O47" s="8"/>
      <c r="P47" s="8"/>
      <c r="Q47" s="18"/>
      <c r="R47" s="24"/>
      <c r="S47" s="30"/>
      <c r="T47" s="25">
        <f t="shared" si="1"/>
        <v>0</v>
      </c>
      <c r="U47" s="27">
        <f>Tabla14[[#This Row],[NETO]]*2%</f>
        <v>0</v>
      </c>
      <c r="X47" s="127"/>
      <c r="Y47" s="127"/>
    </row>
    <row r="48" spans="1:25" x14ac:dyDescent="0.3">
      <c r="A48" s="6"/>
      <c r="B48" s="16"/>
      <c r="F48" s="21"/>
      <c r="G48" s="12"/>
      <c r="H48" s="49"/>
      <c r="I48" s="19"/>
      <c r="J48" s="1"/>
      <c r="M48" s="7"/>
      <c r="N48" s="8"/>
      <c r="O48" s="8"/>
      <c r="P48" s="8"/>
      <c r="Q48" s="18"/>
      <c r="R48" s="24"/>
      <c r="S48" s="30"/>
      <c r="T48" s="25">
        <f t="shared" si="1"/>
        <v>0</v>
      </c>
      <c r="U48" s="27">
        <f>Tabla14[[#This Row],[NETO]]*2%</f>
        <v>0</v>
      </c>
      <c r="X48" s="51"/>
      <c r="Y48" s="50"/>
    </row>
    <row r="49" spans="1:25" x14ac:dyDescent="0.3">
      <c r="A49" s="6"/>
      <c r="B49" s="16"/>
      <c r="F49" s="21"/>
      <c r="G49" s="12"/>
      <c r="H49" s="49"/>
      <c r="I49" s="19"/>
      <c r="J49" s="1"/>
      <c r="M49" s="7"/>
      <c r="N49" s="8"/>
      <c r="O49" s="8"/>
      <c r="P49" s="8"/>
      <c r="Q49" s="18"/>
      <c r="R49" s="24"/>
      <c r="S49" s="30"/>
      <c r="T49" s="25">
        <f t="shared" si="1"/>
        <v>0</v>
      </c>
      <c r="U49" s="27">
        <f>Tabla14[[#This Row],[NETO]]*2%</f>
        <v>0</v>
      </c>
      <c r="X49" s="51"/>
      <c r="Y49" s="50"/>
    </row>
    <row r="50" spans="1:25" ht="15" thickBot="1" x14ac:dyDescent="0.35">
      <c r="A50" s="5" t="s">
        <v>18</v>
      </c>
      <c r="B50" s="17">
        <f>COUNT(B3:B49)</f>
        <v>0</v>
      </c>
      <c r="C50" s="4"/>
      <c r="D50" s="4"/>
      <c r="E50" s="4"/>
      <c r="F50" s="22"/>
      <c r="G50" s="13"/>
      <c r="H50" s="62"/>
      <c r="I50" s="20"/>
      <c r="J50" s="23"/>
      <c r="K50" s="14"/>
      <c r="L50" s="14"/>
      <c r="M50" s="9"/>
      <c r="N50" s="10"/>
      <c r="O50" s="10"/>
      <c r="P50" s="10"/>
      <c r="Q50" s="11"/>
      <c r="R50" s="31"/>
      <c r="S50" s="32">
        <f>SUM(S3:S49)</f>
        <v>0</v>
      </c>
      <c r="T50" s="32">
        <f>SUM(T3:T49)</f>
        <v>0</v>
      </c>
      <c r="U50" s="32">
        <f>Tabla14[[#This Row],[NETO]]*2%</f>
        <v>0</v>
      </c>
      <c r="X50" s="51"/>
      <c r="Y50" s="50"/>
    </row>
  </sheetData>
  <mergeCells count="5">
    <mergeCell ref="C1:F1"/>
    <mergeCell ref="G1:L1"/>
    <mergeCell ref="M1:Q1"/>
    <mergeCell ref="R1:U1"/>
    <mergeCell ref="X47:Y47"/>
  </mergeCells>
  <pageMargins left="0.7" right="0.7" top="0.75" bottom="0.75" header="0.3" footer="0.3"/>
  <ignoredErrors>
    <ignoredError sqref="T50" calculatedColumn="1"/>
  </ignoredErrors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D896-4939-4236-AF98-84F1525FC891}">
  <dimension ref="A1:Z52"/>
  <sheetViews>
    <sheetView topLeftCell="C1" zoomScale="65" zoomScaleNormal="65" workbookViewId="0">
      <selection activeCell="X2" sqref="X2:Z3"/>
    </sheetView>
  </sheetViews>
  <sheetFormatPr baseColWidth="10" defaultRowHeight="14.4" x14ac:dyDescent="0.3"/>
  <cols>
    <col min="3" max="3" width="20.5546875" bestFit="1" customWidth="1"/>
    <col min="5" max="5" width="12" bestFit="1" customWidth="1"/>
    <col min="8" max="8" width="11.5546875" style="49"/>
    <col min="13" max="13" width="8.109375" customWidth="1"/>
    <col min="14" max="14" width="7.5546875" customWidth="1"/>
    <col min="15" max="15" width="6.6640625" customWidth="1"/>
    <col min="16" max="16" width="7.88671875" customWidth="1"/>
    <col min="19" max="19" width="15.109375" customWidth="1"/>
    <col min="20" max="20" width="12" bestFit="1" customWidth="1"/>
    <col min="24" max="24" width="12" style="1" customWidth="1"/>
    <col min="25" max="25" width="12" customWidth="1"/>
    <col min="26" max="26" width="12" style="3" customWidth="1"/>
  </cols>
  <sheetData>
    <row r="1" spans="1:26" ht="18" x14ac:dyDescent="0.35">
      <c r="A1" s="2"/>
      <c r="B1" s="15"/>
      <c r="C1" s="120" t="s">
        <v>1</v>
      </c>
      <c r="D1" s="120"/>
      <c r="E1" s="120"/>
      <c r="F1" s="120"/>
      <c r="G1" s="128" t="s">
        <v>6</v>
      </c>
      <c r="H1" s="129"/>
      <c r="I1" s="129"/>
      <c r="J1" s="129"/>
      <c r="K1" s="129"/>
      <c r="L1" s="130"/>
      <c r="M1" s="121" t="s">
        <v>13</v>
      </c>
      <c r="N1" s="122"/>
      <c r="O1" s="122"/>
      <c r="P1" s="122"/>
      <c r="Q1" s="124"/>
      <c r="R1" s="125" t="s">
        <v>24</v>
      </c>
      <c r="S1" s="126"/>
      <c r="T1" s="126"/>
      <c r="U1" s="126"/>
      <c r="X1" s="1" t="s">
        <v>22</v>
      </c>
      <c r="Y1" t="s">
        <v>25</v>
      </c>
      <c r="Z1" s="3" t="s">
        <v>19</v>
      </c>
    </row>
    <row r="2" spans="1:26" x14ac:dyDescent="0.3">
      <c r="A2" s="2" t="s">
        <v>0</v>
      </c>
      <c r="B2" s="16" t="s">
        <v>22</v>
      </c>
      <c r="C2" t="s">
        <v>3</v>
      </c>
      <c r="D2" t="s">
        <v>2</v>
      </c>
      <c r="E2" t="s">
        <v>4</v>
      </c>
      <c r="F2" t="s">
        <v>5</v>
      </c>
      <c r="G2" s="12" t="s">
        <v>7</v>
      </c>
      <c r="H2" s="49" t="s">
        <v>8</v>
      </c>
      <c r="I2" s="19" t="s">
        <v>10</v>
      </c>
      <c r="J2" s="1" t="s">
        <v>9</v>
      </c>
      <c r="K2" t="s">
        <v>11</v>
      </c>
      <c r="L2" t="s">
        <v>12</v>
      </c>
      <c r="M2" s="7" t="s">
        <v>14</v>
      </c>
      <c r="N2" s="8" t="s">
        <v>15</v>
      </c>
      <c r="O2" s="8" t="s">
        <v>16</v>
      </c>
      <c r="P2" s="8" t="s">
        <v>17</v>
      </c>
      <c r="Q2" s="18" t="s">
        <v>21</v>
      </c>
      <c r="R2" s="24" t="s">
        <v>23</v>
      </c>
      <c r="S2" s="29" t="s">
        <v>18</v>
      </c>
      <c r="T2" s="26" t="s">
        <v>20</v>
      </c>
      <c r="U2" s="28" t="s">
        <v>19</v>
      </c>
    </row>
    <row r="3" spans="1:26" x14ac:dyDescent="0.3">
      <c r="A3" s="6"/>
      <c r="B3" s="16"/>
      <c r="F3" s="21"/>
      <c r="G3" s="12"/>
      <c r="I3" s="19"/>
      <c r="J3" s="1"/>
      <c r="M3" s="7"/>
      <c r="N3" s="8"/>
      <c r="O3" s="8"/>
      <c r="P3" s="8"/>
      <c r="Q3" s="18"/>
      <c r="R3" s="24"/>
      <c r="S3" s="29"/>
      <c r="T3" s="25">
        <f t="shared" ref="T3:T14" si="0">S3/1.19</f>
        <v>0</v>
      </c>
      <c r="U3" s="27">
        <f>Tabla146[[#This Row],[NETO]]*2%</f>
        <v>0</v>
      </c>
    </row>
    <row r="4" spans="1:26" x14ac:dyDescent="0.3">
      <c r="A4" s="6"/>
      <c r="B4" s="16"/>
      <c r="F4" s="34"/>
      <c r="G4" s="12"/>
      <c r="I4" s="19"/>
      <c r="J4" s="1"/>
      <c r="M4" s="7"/>
      <c r="N4" s="8"/>
      <c r="O4" s="8"/>
      <c r="P4" s="8"/>
      <c r="Q4" s="18"/>
      <c r="R4" s="24"/>
      <c r="S4" s="29"/>
      <c r="T4" s="25">
        <f t="shared" si="0"/>
        <v>0</v>
      </c>
      <c r="U4" s="27">
        <f>Tabla146[[#This Row],[NETO]]*2%</f>
        <v>0</v>
      </c>
    </row>
    <row r="5" spans="1:26" x14ac:dyDescent="0.3">
      <c r="A5" s="6"/>
      <c r="B5" s="16"/>
      <c r="F5" s="21"/>
      <c r="G5" s="12"/>
      <c r="I5" s="19"/>
      <c r="J5" s="1"/>
      <c r="M5" s="7"/>
      <c r="N5" s="8"/>
      <c r="O5" s="8"/>
      <c r="P5" s="8"/>
      <c r="Q5" s="18"/>
      <c r="R5" s="24"/>
      <c r="S5" s="29"/>
      <c r="T5" s="25">
        <f t="shared" si="0"/>
        <v>0</v>
      </c>
      <c r="U5" s="27">
        <f>Tabla146[[#This Row],[NETO]]*2%</f>
        <v>0</v>
      </c>
    </row>
    <row r="6" spans="1:26" x14ac:dyDescent="0.3">
      <c r="A6" s="6"/>
      <c r="B6" s="16"/>
      <c r="F6" s="21"/>
      <c r="G6" s="12"/>
      <c r="I6" s="19"/>
      <c r="J6" s="1"/>
      <c r="M6" s="7"/>
      <c r="N6" s="8"/>
      <c r="O6" s="8"/>
      <c r="P6" s="8"/>
      <c r="Q6" s="18"/>
      <c r="R6" s="24"/>
      <c r="S6" s="29"/>
      <c r="T6" s="25">
        <f t="shared" si="0"/>
        <v>0</v>
      </c>
      <c r="U6" s="27">
        <f>Tabla146[[#This Row],[NETO]]*2%</f>
        <v>0</v>
      </c>
    </row>
    <row r="7" spans="1:26" x14ac:dyDescent="0.3">
      <c r="A7" s="6"/>
      <c r="B7" s="16"/>
      <c r="F7" s="34"/>
      <c r="G7" s="12"/>
      <c r="I7" s="19"/>
      <c r="J7" s="1"/>
      <c r="M7" s="7"/>
      <c r="N7" s="8"/>
      <c r="O7" s="8"/>
      <c r="P7" s="8"/>
      <c r="Q7" s="18"/>
      <c r="R7" s="24"/>
      <c r="S7" s="29"/>
      <c r="T7" s="25">
        <f t="shared" si="0"/>
        <v>0</v>
      </c>
      <c r="U7" s="27">
        <f>Tabla146[[#This Row],[NETO]]*2%</f>
        <v>0</v>
      </c>
    </row>
    <row r="8" spans="1:26" x14ac:dyDescent="0.3">
      <c r="A8" s="6"/>
      <c r="B8" s="16"/>
      <c r="F8" s="21"/>
      <c r="G8" s="12"/>
      <c r="I8" s="19"/>
      <c r="J8" s="1"/>
      <c r="M8" s="7"/>
      <c r="N8" s="8"/>
      <c r="O8" s="8"/>
      <c r="P8" s="8"/>
      <c r="Q8" s="18"/>
      <c r="R8" s="24"/>
      <c r="S8" s="29"/>
      <c r="T8" s="25">
        <f t="shared" si="0"/>
        <v>0</v>
      </c>
      <c r="U8" s="27">
        <f>Tabla146[[#This Row],[NETO]]*2%</f>
        <v>0</v>
      </c>
    </row>
    <row r="9" spans="1:26" x14ac:dyDescent="0.3">
      <c r="A9" s="6"/>
      <c r="B9" s="16"/>
      <c r="F9" s="21"/>
      <c r="G9" s="12"/>
      <c r="I9" s="19"/>
      <c r="J9" s="1"/>
      <c r="M9" s="7"/>
      <c r="N9" s="8"/>
      <c r="O9" s="8"/>
      <c r="P9" s="8"/>
      <c r="Q9" s="18"/>
      <c r="R9" s="24"/>
      <c r="S9" s="29"/>
      <c r="T9" s="25">
        <f t="shared" si="0"/>
        <v>0</v>
      </c>
      <c r="U9" s="27">
        <f>Tabla146[[#This Row],[NETO]]*2%</f>
        <v>0</v>
      </c>
    </row>
    <row r="10" spans="1:26" x14ac:dyDescent="0.3">
      <c r="A10" s="6"/>
      <c r="B10" s="16"/>
      <c r="F10" s="34"/>
      <c r="G10" s="12"/>
      <c r="I10" s="19"/>
      <c r="J10" s="1"/>
      <c r="M10" s="7"/>
      <c r="N10" s="8"/>
      <c r="O10" s="8"/>
      <c r="P10" s="8"/>
      <c r="Q10" s="18"/>
      <c r="R10" s="24"/>
      <c r="S10" s="29"/>
      <c r="T10" s="25">
        <f t="shared" si="0"/>
        <v>0</v>
      </c>
      <c r="U10" s="27">
        <f>Tabla146[[#This Row],[NETO]]*2%</f>
        <v>0</v>
      </c>
      <c r="Z10" s="3">
        <f>SUM(Z2:Z9)</f>
        <v>0</v>
      </c>
    </row>
    <row r="11" spans="1:26" x14ac:dyDescent="0.3">
      <c r="A11" s="6"/>
      <c r="B11" s="16"/>
      <c r="F11" s="21"/>
      <c r="G11" s="12"/>
      <c r="I11" s="19"/>
      <c r="J11" s="1"/>
      <c r="M11" s="7"/>
      <c r="N11" s="8"/>
      <c r="O11" s="8"/>
      <c r="P11" s="8"/>
      <c r="Q11" s="18"/>
      <c r="R11" s="24"/>
      <c r="S11" s="29"/>
      <c r="T11" s="25">
        <f t="shared" si="0"/>
        <v>0</v>
      </c>
      <c r="U11" s="27">
        <f>Tabla146[[#This Row],[NETO]]*2%</f>
        <v>0</v>
      </c>
    </row>
    <row r="12" spans="1:26" x14ac:dyDescent="0.3">
      <c r="A12" s="6"/>
      <c r="B12" s="16"/>
      <c r="G12" s="12"/>
      <c r="H12" s="61"/>
      <c r="I12" s="33"/>
      <c r="J12" s="35"/>
      <c r="M12" s="7"/>
      <c r="N12" s="8"/>
      <c r="O12" s="8"/>
      <c r="P12" s="8"/>
      <c r="Q12" s="18"/>
      <c r="R12" s="24"/>
      <c r="S12" s="29"/>
      <c r="T12" s="25">
        <f t="shared" si="0"/>
        <v>0</v>
      </c>
      <c r="U12" s="27">
        <f>Tabla146[[#This Row],[NETO]]*2%</f>
        <v>0</v>
      </c>
    </row>
    <row r="13" spans="1:26" x14ac:dyDescent="0.3">
      <c r="A13" s="6"/>
      <c r="B13" s="16"/>
      <c r="F13" s="21"/>
      <c r="G13" s="12"/>
      <c r="I13" s="19"/>
      <c r="J13" s="1"/>
      <c r="M13" s="7"/>
      <c r="N13" s="8"/>
      <c r="O13" s="8"/>
      <c r="P13" s="8"/>
      <c r="Q13" s="18"/>
      <c r="R13" s="24"/>
      <c r="S13" s="29"/>
      <c r="T13" s="25">
        <f t="shared" si="0"/>
        <v>0</v>
      </c>
      <c r="U13" s="27">
        <f>Tabla146[[#This Row],[NETO]]*2%</f>
        <v>0</v>
      </c>
    </row>
    <row r="14" spans="1:26" x14ac:dyDescent="0.3">
      <c r="A14" s="6"/>
      <c r="B14" s="16"/>
      <c r="F14" s="34"/>
      <c r="G14" s="12"/>
      <c r="I14" s="19"/>
      <c r="J14" s="1"/>
      <c r="M14" s="7"/>
      <c r="N14" s="8"/>
      <c r="O14" s="8"/>
      <c r="P14" s="8"/>
      <c r="Q14" s="18"/>
      <c r="R14" s="24"/>
      <c r="S14" s="29"/>
      <c r="T14" s="25">
        <f t="shared" si="0"/>
        <v>0</v>
      </c>
      <c r="U14" s="27">
        <f>Tabla146[[#This Row],[NETO]]*2%</f>
        <v>0</v>
      </c>
    </row>
    <row r="15" spans="1:26" x14ac:dyDescent="0.3">
      <c r="A15" s="6"/>
      <c r="B15" s="16"/>
      <c r="F15" s="34"/>
      <c r="G15" s="12"/>
      <c r="I15" s="19"/>
      <c r="J15" s="1"/>
      <c r="M15" s="7"/>
      <c r="N15" s="8"/>
      <c r="O15" s="8"/>
      <c r="P15" s="8"/>
      <c r="Q15" s="18"/>
      <c r="R15" s="24"/>
      <c r="S15" s="30"/>
      <c r="T15" s="25">
        <f t="shared" ref="T15:T51" si="1">S15/1.19</f>
        <v>0</v>
      </c>
      <c r="U15" s="27">
        <f>Tabla146[[#This Row],[NETO]]*2%</f>
        <v>0</v>
      </c>
    </row>
    <row r="16" spans="1:26" x14ac:dyDescent="0.3">
      <c r="A16" s="6"/>
      <c r="B16" s="16"/>
      <c r="F16" s="34"/>
      <c r="G16" s="12"/>
      <c r="I16" s="19"/>
      <c r="J16" s="1"/>
      <c r="M16" s="7"/>
      <c r="N16" s="8"/>
      <c r="O16" s="8"/>
      <c r="P16" s="8"/>
      <c r="Q16" s="18"/>
      <c r="R16" s="24"/>
      <c r="S16" s="30"/>
      <c r="T16" s="25">
        <f t="shared" si="1"/>
        <v>0</v>
      </c>
      <c r="U16" s="27">
        <f>Tabla146[[#This Row],[NETO]]*2%</f>
        <v>0</v>
      </c>
    </row>
    <row r="17" spans="1:21" x14ac:dyDescent="0.3">
      <c r="A17" s="6"/>
      <c r="B17" s="16"/>
      <c r="F17" s="21"/>
      <c r="G17" s="12"/>
      <c r="I17" s="19"/>
      <c r="J17" s="1"/>
      <c r="M17" s="7"/>
      <c r="N17" s="8"/>
      <c r="O17" s="8"/>
      <c r="P17" s="8"/>
      <c r="Q17" s="18"/>
      <c r="R17" s="24"/>
      <c r="S17" s="30"/>
      <c r="T17" s="25">
        <f t="shared" si="1"/>
        <v>0</v>
      </c>
      <c r="U17" s="27">
        <f>Tabla146[[#This Row],[NETO]]*2%</f>
        <v>0</v>
      </c>
    </row>
    <row r="18" spans="1:21" x14ac:dyDescent="0.3">
      <c r="A18" s="6"/>
      <c r="B18" s="16"/>
      <c r="G18" s="12"/>
      <c r="I18" s="19"/>
      <c r="J18" s="1"/>
      <c r="M18" s="7"/>
      <c r="N18" s="8"/>
      <c r="O18" s="8"/>
      <c r="P18" s="8"/>
      <c r="Q18" s="18"/>
      <c r="R18" s="24"/>
      <c r="S18" s="30"/>
      <c r="T18" s="25">
        <f t="shared" si="1"/>
        <v>0</v>
      </c>
      <c r="U18" s="27">
        <f>Tabla146[[#This Row],[NETO]]*2%</f>
        <v>0</v>
      </c>
    </row>
    <row r="19" spans="1:21" x14ac:dyDescent="0.3">
      <c r="A19" s="6"/>
      <c r="B19" s="16"/>
      <c r="F19" s="21"/>
      <c r="G19" s="12"/>
      <c r="I19" s="19"/>
      <c r="J19" s="1"/>
      <c r="M19" s="7"/>
      <c r="N19" s="8"/>
      <c r="O19" s="8"/>
      <c r="P19" s="8"/>
      <c r="Q19" s="18"/>
      <c r="R19" s="24"/>
      <c r="S19" s="30"/>
      <c r="T19" s="25">
        <f t="shared" si="1"/>
        <v>0</v>
      </c>
      <c r="U19" s="27">
        <f>Tabla146[[#This Row],[NETO]]*2%</f>
        <v>0</v>
      </c>
    </row>
    <row r="20" spans="1:21" x14ac:dyDescent="0.3">
      <c r="A20" s="6"/>
      <c r="B20" s="16"/>
      <c r="F20" s="21"/>
      <c r="G20" s="12"/>
      <c r="I20" s="19"/>
      <c r="J20" s="1"/>
      <c r="M20" s="7"/>
      <c r="N20" s="8"/>
      <c r="O20" s="8"/>
      <c r="P20" s="8"/>
      <c r="Q20" s="18"/>
      <c r="R20" s="24"/>
      <c r="S20" s="30"/>
      <c r="T20" s="25">
        <f t="shared" si="1"/>
        <v>0</v>
      </c>
      <c r="U20" s="27">
        <f>Tabla146[[#This Row],[NETO]]*2%</f>
        <v>0</v>
      </c>
    </row>
    <row r="21" spans="1:21" x14ac:dyDescent="0.3">
      <c r="A21" s="6"/>
      <c r="B21" s="16"/>
      <c r="F21" s="21"/>
      <c r="G21" s="12"/>
      <c r="I21" s="19"/>
      <c r="J21" s="1"/>
      <c r="M21" s="7"/>
      <c r="N21" s="8"/>
      <c r="O21" s="8"/>
      <c r="P21" s="8"/>
      <c r="Q21" s="18"/>
      <c r="R21" s="24"/>
      <c r="S21" s="30"/>
      <c r="T21" s="25">
        <f t="shared" si="1"/>
        <v>0</v>
      </c>
      <c r="U21" s="27">
        <f>Tabla146[[#This Row],[NETO]]*2%</f>
        <v>0</v>
      </c>
    </row>
    <row r="22" spans="1:21" x14ac:dyDescent="0.3">
      <c r="A22" s="6"/>
      <c r="B22" s="16"/>
      <c r="F22" s="21"/>
      <c r="G22" s="12"/>
      <c r="I22" s="19"/>
      <c r="J22" s="1"/>
      <c r="M22" s="7"/>
      <c r="N22" s="8"/>
      <c r="O22" s="8"/>
      <c r="P22" s="8"/>
      <c r="Q22" s="18"/>
      <c r="R22" s="24"/>
      <c r="S22" s="30"/>
      <c r="T22" s="25">
        <f t="shared" si="1"/>
        <v>0</v>
      </c>
      <c r="U22" s="27">
        <f>Tabla146[[#This Row],[NETO]]*2%</f>
        <v>0</v>
      </c>
    </row>
    <row r="23" spans="1:21" x14ac:dyDescent="0.3">
      <c r="A23" s="6"/>
      <c r="B23" s="16"/>
      <c r="F23" s="21"/>
      <c r="G23" s="12"/>
      <c r="I23" s="19"/>
      <c r="J23" s="1"/>
      <c r="M23" s="7"/>
      <c r="N23" s="8"/>
      <c r="O23" s="8"/>
      <c r="P23" s="8"/>
      <c r="Q23" s="18"/>
      <c r="R23" s="24"/>
      <c r="S23" s="30"/>
      <c r="T23" s="25">
        <v>0</v>
      </c>
      <c r="U23" s="27">
        <v>0</v>
      </c>
    </row>
    <row r="24" spans="1:21" x14ac:dyDescent="0.3">
      <c r="A24" s="6"/>
      <c r="B24" s="16"/>
      <c r="F24" s="21"/>
      <c r="G24" s="12"/>
      <c r="I24" s="19"/>
      <c r="J24" s="1"/>
      <c r="M24" s="7"/>
      <c r="N24" s="8"/>
      <c r="O24" s="8"/>
      <c r="P24" s="8"/>
      <c r="Q24" s="18"/>
      <c r="R24" s="24"/>
      <c r="S24" s="30"/>
      <c r="T24" s="25">
        <f t="shared" si="1"/>
        <v>0</v>
      </c>
      <c r="U24" s="27">
        <f>Tabla146[[#This Row],[NETO]]*2%</f>
        <v>0</v>
      </c>
    </row>
    <row r="25" spans="1:21" x14ac:dyDescent="0.3">
      <c r="A25" s="6"/>
      <c r="B25" s="16"/>
      <c r="F25" s="21"/>
      <c r="G25" s="12"/>
      <c r="I25" s="19"/>
      <c r="J25" s="1"/>
      <c r="M25" s="7"/>
      <c r="N25" s="8"/>
      <c r="O25" s="8"/>
      <c r="P25" s="8"/>
      <c r="Q25" s="18"/>
      <c r="R25" s="24"/>
      <c r="S25" s="30"/>
      <c r="T25" s="25">
        <f t="shared" si="1"/>
        <v>0</v>
      </c>
      <c r="U25" s="27">
        <f>Tabla146[[#This Row],[NETO]]*2%</f>
        <v>0</v>
      </c>
    </row>
    <row r="26" spans="1:21" x14ac:dyDescent="0.3">
      <c r="A26" s="6"/>
      <c r="B26" s="16"/>
      <c r="F26" s="21"/>
      <c r="G26" s="12"/>
      <c r="I26" s="19"/>
      <c r="J26" s="1"/>
      <c r="M26" s="7"/>
      <c r="N26" s="8"/>
      <c r="O26" s="8"/>
      <c r="P26" s="8"/>
      <c r="Q26" s="18"/>
      <c r="R26" s="24"/>
      <c r="S26" s="30"/>
      <c r="T26" s="25">
        <f t="shared" si="1"/>
        <v>0</v>
      </c>
      <c r="U26" s="27">
        <f>Tabla146[[#This Row],[NETO]]*2%</f>
        <v>0</v>
      </c>
    </row>
    <row r="27" spans="1:21" x14ac:dyDescent="0.3">
      <c r="A27" s="6"/>
      <c r="B27" s="16"/>
      <c r="F27" s="21"/>
      <c r="G27" s="12"/>
      <c r="I27" s="19"/>
      <c r="J27" s="1"/>
      <c r="M27" s="7"/>
      <c r="N27" s="8"/>
      <c r="O27" s="8"/>
      <c r="P27" s="8"/>
      <c r="Q27" s="18"/>
      <c r="R27" s="24"/>
      <c r="S27" s="30"/>
      <c r="T27" s="25">
        <f t="shared" si="1"/>
        <v>0</v>
      </c>
      <c r="U27" s="27">
        <f>Tabla146[[#This Row],[NETO]]*2%</f>
        <v>0</v>
      </c>
    </row>
    <row r="28" spans="1:21" x14ac:dyDescent="0.3">
      <c r="A28" s="6"/>
      <c r="B28" s="16"/>
      <c r="F28" s="21"/>
      <c r="G28" s="12"/>
      <c r="I28" s="19"/>
      <c r="J28" s="1"/>
      <c r="M28" s="7"/>
      <c r="N28" s="8"/>
      <c r="O28" s="8"/>
      <c r="P28" s="8"/>
      <c r="Q28" s="18"/>
      <c r="R28" s="24"/>
      <c r="S28" s="30"/>
      <c r="T28" s="25">
        <f t="shared" si="1"/>
        <v>0</v>
      </c>
      <c r="U28" s="27">
        <f>Tabla146[[#This Row],[NETO]]*2%</f>
        <v>0</v>
      </c>
    </row>
    <row r="29" spans="1:21" x14ac:dyDescent="0.3">
      <c r="A29" s="6"/>
      <c r="B29" s="16"/>
      <c r="F29" s="21"/>
      <c r="G29" s="12"/>
      <c r="I29" s="19"/>
      <c r="J29" s="1"/>
      <c r="M29" s="7"/>
      <c r="N29" s="8"/>
      <c r="O29" s="8"/>
      <c r="P29" s="8"/>
      <c r="Q29" s="18"/>
      <c r="R29" s="24"/>
      <c r="S29" s="30"/>
      <c r="T29" s="25">
        <f t="shared" si="1"/>
        <v>0</v>
      </c>
      <c r="U29" s="27">
        <f>Tabla146[[#This Row],[NETO]]*2%</f>
        <v>0</v>
      </c>
    </row>
    <row r="30" spans="1:21" x14ac:dyDescent="0.3">
      <c r="A30" s="6"/>
      <c r="B30" s="16"/>
      <c r="F30" s="21"/>
      <c r="G30" s="12"/>
      <c r="I30" s="19"/>
      <c r="J30" s="1"/>
      <c r="M30" s="7"/>
      <c r="N30" s="8"/>
      <c r="O30" s="8"/>
      <c r="P30" s="8"/>
      <c r="Q30" s="18"/>
      <c r="R30" s="24"/>
      <c r="S30" s="30"/>
      <c r="T30" s="25">
        <f t="shared" si="1"/>
        <v>0</v>
      </c>
      <c r="U30" s="27">
        <f>Tabla146[[#This Row],[NETO]]*2%</f>
        <v>0</v>
      </c>
    </row>
    <row r="31" spans="1:21" x14ac:dyDescent="0.3">
      <c r="A31" s="6"/>
      <c r="B31" s="16"/>
      <c r="F31" s="21"/>
      <c r="G31" s="12"/>
      <c r="I31" s="19"/>
      <c r="J31" s="1"/>
      <c r="M31" s="7"/>
      <c r="N31" s="8"/>
      <c r="O31" s="8"/>
      <c r="P31" s="8"/>
      <c r="Q31" s="18"/>
      <c r="R31" s="24"/>
      <c r="S31" s="30"/>
      <c r="T31" s="25">
        <f t="shared" si="1"/>
        <v>0</v>
      </c>
      <c r="U31" s="27">
        <f>Tabla146[[#This Row],[NETO]]*2%</f>
        <v>0</v>
      </c>
    </row>
    <row r="32" spans="1:21" x14ac:dyDescent="0.3">
      <c r="A32" s="6"/>
      <c r="B32" s="16"/>
      <c r="F32" s="21"/>
      <c r="G32" s="12"/>
      <c r="I32" s="19"/>
      <c r="J32" s="1"/>
      <c r="M32" s="7"/>
      <c r="N32" s="8"/>
      <c r="O32" s="8"/>
      <c r="P32" s="8"/>
      <c r="Q32" s="18"/>
      <c r="R32" s="24"/>
      <c r="S32" s="30"/>
      <c r="T32" s="25">
        <f t="shared" si="1"/>
        <v>0</v>
      </c>
      <c r="U32" s="27">
        <f>Tabla146[[#This Row],[NETO]]*2%</f>
        <v>0</v>
      </c>
    </row>
    <row r="33" spans="1:21" x14ac:dyDescent="0.3">
      <c r="A33" s="6"/>
      <c r="B33" s="16"/>
      <c r="F33" s="21"/>
      <c r="G33" s="12"/>
      <c r="I33" s="19"/>
      <c r="J33" s="1"/>
      <c r="M33" s="7"/>
      <c r="N33" s="8"/>
      <c r="O33" s="8"/>
      <c r="P33" s="8"/>
      <c r="Q33" s="18"/>
      <c r="R33" s="24"/>
      <c r="S33" s="30"/>
      <c r="T33" s="25">
        <f t="shared" si="1"/>
        <v>0</v>
      </c>
      <c r="U33" s="27">
        <f>Tabla146[[#This Row],[NETO]]*2%</f>
        <v>0</v>
      </c>
    </row>
    <row r="34" spans="1:21" x14ac:dyDescent="0.3">
      <c r="A34" s="6"/>
      <c r="B34" s="16"/>
      <c r="F34" s="21"/>
      <c r="G34" s="12"/>
      <c r="I34" s="19"/>
      <c r="J34" s="1"/>
      <c r="M34" s="7"/>
      <c r="N34" s="8"/>
      <c r="O34" s="8"/>
      <c r="P34" s="8"/>
      <c r="Q34" s="18"/>
      <c r="R34" s="24"/>
      <c r="S34" s="30"/>
      <c r="T34" s="25">
        <f t="shared" si="1"/>
        <v>0</v>
      </c>
      <c r="U34" s="27">
        <f>Tabla146[[#This Row],[NETO]]*2%</f>
        <v>0</v>
      </c>
    </row>
    <row r="35" spans="1:21" x14ac:dyDescent="0.3">
      <c r="A35" s="6"/>
      <c r="B35" s="16"/>
      <c r="F35" s="21"/>
      <c r="G35" s="12"/>
      <c r="I35" s="19"/>
      <c r="J35" s="1"/>
      <c r="M35" s="7"/>
      <c r="N35" s="8"/>
      <c r="O35" s="8"/>
      <c r="P35" s="8"/>
      <c r="Q35" s="18"/>
      <c r="R35" s="24"/>
      <c r="S35" s="30"/>
      <c r="T35" s="25">
        <f t="shared" si="1"/>
        <v>0</v>
      </c>
      <c r="U35" s="27">
        <f>Tabla146[[#This Row],[NETO]]*2%</f>
        <v>0</v>
      </c>
    </row>
    <row r="36" spans="1:21" x14ac:dyDescent="0.3">
      <c r="A36" s="6"/>
      <c r="B36" s="16"/>
      <c r="F36" s="21"/>
      <c r="G36" s="12"/>
      <c r="I36" s="19"/>
      <c r="J36" s="1"/>
      <c r="M36" s="7"/>
      <c r="N36" s="8"/>
      <c r="O36" s="8"/>
      <c r="P36" s="8"/>
      <c r="Q36" s="18"/>
      <c r="R36" s="24"/>
      <c r="S36" s="30"/>
      <c r="T36" s="25">
        <f t="shared" si="1"/>
        <v>0</v>
      </c>
      <c r="U36" s="27">
        <f>Tabla146[[#This Row],[NETO]]*2%</f>
        <v>0</v>
      </c>
    </row>
    <row r="37" spans="1:21" x14ac:dyDescent="0.3">
      <c r="A37" s="6"/>
      <c r="B37" s="16"/>
      <c r="F37" s="21"/>
      <c r="G37" s="12"/>
      <c r="I37" s="19"/>
      <c r="J37" s="1"/>
      <c r="M37" s="7"/>
      <c r="N37" s="8"/>
      <c r="O37" s="8"/>
      <c r="P37" s="8"/>
      <c r="Q37" s="18"/>
      <c r="R37" s="24"/>
      <c r="S37" s="30"/>
      <c r="T37" s="25">
        <f t="shared" si="1"/>
        <v>0</v>
      </c>
      <c r="U37" s="27">
        <f>Tabla146[[#This Row],[NETO]]*2%</f>
        <v>0</v>
      </c>
    </row>
    <row r="38" spans="1:21" x14ac:dyDescent="0.3">
      <c r="A38" s="6"/>
      <c r="B38" s="16"/>
      <c r="F38" s="21"/>
      <c r="G38" s="12"/>
      <c r="I38" s="19"/>
      <c r="J38" s="1"/>
      <c r="M38" s="7"/>
      <c r="N38" s="8"/>
      <c r="O38" s="8"/>
      <c r="P38" s="8"/>
      <c r="Q38" s="18"/>
      <c r="R38" s="24"/>
      <c r="S38" s="30"/>
      <c r="T38" s="25">
        <f t="shared" si="1"/>
        <v>0</v>
      </c>
      <c r="U38" s="27">
        <f>Tabla146[[#This Row],[NETO]]*2%</f>
        <v>0</v>
      </c>
    </row>
    <row r="39" spans="1:21" x14ac:dyDescent="0.3">
      <c r="A39" s="6"/>
      <c r="B39" s="16"/>
      <c r="F39" s="21"/>
      <c r="G39" s="12"/>
      <c r="I39" s="19"/>
      <c r="J39" s="1"/>
      <c r="M39" s="7"/>
      <c r="N39" s="8"/>
      <c r="O39" s="8"/>
      <c r="P39" s="8"/>
      <c r="Q39" s="18"/>
      <c r="R39" s="24"/>
      <c r="S39" s="30"/>
      <c r="T39" s="25">
        <f t="shared" si="1"/>
        <v>0</v>
      </c>
      <c r="U39" s="27">
        <f>Tabla146[[#This Row],[NETO]]*2%</f>
        <v>0</v>
      </c>
    </row>
    <row r="40" spans="1:21" x14ac:dyDescent="0.3">
      <c r="A40" s="6"/>
      <c r="B40" s="16"/>
      <c r="F40" s="21"/>
      <c r="G40" s="12"/>
      <c r="I40" s="19"/>
      <c r="J40" s="1"/>
      <c r="M40" s="7"/>
      <c r="N40" s="8"/>
      <c r="O40" s="8"/>
      <c r="P40" s="8"/>
      <c r="Q40" s="18"/>
      <c r="R40" s="24"/>
      <c r="S40" s="30"/>
      <c r="T40" s="25">
        <f t="shared" si="1"/>
        <v>0</v>
      </c>
      <c r="U40" s="27">
        <f>Tabla146[[#This Row],[NETO]]*2%</f>
        <v>0</v>
      </c>
    </row>
    <row r="41" spans="1:21" x14ac:dyDescent="0.3">
      <c r="A41" s="6"/>
      <c r="B41" s="16"/>
      <c r="F41" s="21"/>
      <c r="G41" s="12"/>
      <c r="I41" s="19"/>
      <c r="J41" s="1"/>
      <c r="M41" s="7"/>
      <c r="N41" s="8"/>
      <c r="O41" s="8"/>
      <c r="P41" s="8"/>
      <c r="Q41" s="18"/>
      <c r="R41" s="24"/>
      <c r="S41" s="30"/>
      <c r="T41" s="25">
        <f t="shared" si="1"/>
        <v>0</v>
      </c>
      <c r="U41" s="27">
        <f>Tabla146[[#This Row],[NETO]]*2%</f>
        <v>0</v>
      </c>
    </row>
    <row r="42" spans="1:21" x14ac:dyDescent="0.3">
      <c r="A42" s="6"/>
      <c r="B42" s="16"/>
      <c r="F42" s="21"/>
      <c r="G42" s="12"/>
      <c r="I42" s="19"/>
      <c r="J42" s="1"/>
      <c r="M42" s="7"/>
      <c r="N42" s="8"/>
      <c r="O42" s="8"/>
      <c r="P42" s="8"/>
      <c r="Q42" s="18"/>
      <c r="R42" s="24"/>
      <c r="S42" s="30"/>
      <c r="T42" s="25">
        <f t="shared" si="1"/>
        <v>0</v>
      </c>
      <c r="U42" s="27">
        <f>Tabla146[[#This Row],[NETO]]*2%</f>
        <v>0</v>
      </c>
    </row>
    <row r="43" spans="1:21" x14ac:dyDescent="0.3">
      <c r="A43" s="6"/>
      <c r="B43" s="16"/>
      <c r="F43" s="21"/>
      <c r="G43" s="12"/>
      <c r="I43" s="19"/>
      <c r="J43" s="1"/>
      <c r="M43" s="7"/>
      <c r="N43" s="8"/>
      <c r="O43" s="8"/>
      <c r="P43" s="8"/>
      <c r="Q43" s="18"/>
      <c r="R43" s="24"/>
      <c r="S43" s="30"/>
      <c r="T43" s="25">
        <f t="shared" si="1"/>
        <v>0</v>
      </c>
      <c r="U43" s="27">
        <f>Tabla146[[#This Row],[NETO]]*2%</f>
        <v>0</v>
      </c>
    </row>
    <row r="44" spans="1:21" x14ac:dyDescent="0.3">
      <c r="A44" s="6"/>
      <c r="B44" s="16"/>
      <c r="F44" s="34"/>
      <c r="G44" s="12"/>
      <c r="I44" s="19"/>
      <c r="J44" s="1"/>
      <c r="M44" s="7"/>
      <c r="N44" s="8"/>
      <c r="O44" s="8"/>
      <c r="P44" s="8"/>
      <c r="Q44" s="18"/>
      <c r="R44" s="24"/>
      <c r="S44" s="30"/>
      <c r="T44" s="25">
        <f t="shared" si="1"/>
        <v>0</v>
      </c>
      <c r="U44" s="27">
        <f>Tabla146[[#This Row],[NETO]]*2%</f>
        <v>0</v>
      </c>
    </row>
    <row r="45" spans="1:21" x14ac:dyDescent="0.3">
      <c r="A45" s="6"/>
      <c r="B45" s="16"/>
      <c r="F45" s="21"/>
      <c r="G45" s="12"/>
      <c r="I45" s="19"/>
      <c r="J45" s="1"/>
      <c r="M45" s="7"/>
      <c r="N45" s="8"/>
      <c r="O45" s="8"/>
      <c r="P45" s="8"/>
      <c r="Q45" s="18"/>
      <c r="R45" s="24"/>
      <c r="S45" s="30"/>
      <c r="T45" s="25">
        <f t="shared" si="1"/>
        <v>0</v>
      </c>
      <c r="U45" s="27">
        <f>Tabla146[[#This Row],[NETO]]*2%</f>
        <v>0</v>
      </c>
    </row>
    <row r="46" spans="1:21" x14ac:dyDescent="0.3">
      <c r="A46" s="6"/>
      <c r="B46" s="16"/>
      <c r="F46" s="21"/>
      <c r="G46" s="12"/>
      <c r="I46" s="19"/>
      <c r="J46" s="1"/>
      <c r="M46" s="7"/>
      <c r="N46" s="8"/>
      <c r="O46" s="8"/>
      <c r="P46" s="8"/>
      <c r="Q46" s="18"/>
      <c r="R46" s="24"/>
      <c r="S46" s="30"/>
      <c r="T46" s="25">
        <f t="shared" si="1"/>
        <v>0</v>
      </c>
      <c r="U46" s="27">
        <f>Tabla146[[#This Row],[NETO]]*2%</f>
        <v>0</v>
      </c>
    </row>
    <row r="47" spans="1:21" x14ac:dyDescent="0.3">
      <c r="A47" s="6"/>
      <c r="B47" s="16"/>
      <c r="F47" s="21"/>
      <c r="G47" s="12"/>
      <c r="I47" s="19"/>
      <c r="J47" s="1"/>
      <c r="M47" s="7"/>
      <c r="N47" s="8"/>
      <c r="O47" s="8"/>
      <c r="P47" s="8"/>
      <c r="Q47" s="18"/>
      <c r="R47" s="24"/>
      <c r="S47" s="30"/>
      <c r="T47" s="25">
        <f t="shared" si="1"/>
        <v>0</v>
      </c>
      <c r="U47" s="27">
        <f>Tabla146[[#This Row],[NETO]]*2%</f>
        <v>0</v>
      </c>
    </row>
    <row r="48" spans="1:21" x14ac:dyDescent="0.3">
      <c r="A48" s="6"/>
      <c r="B48" s="16"/>
      <c r="F48" s="21"/>
      <c r="G48" s="12"/>
      <c r="I48" s="19"/>
      <c r="J48" s="1"/>
      <c r="M48" s="7"/>
      <c r="N48" s="8"/>
      <c r="O48" s="8"/>
      <c r="P48" s="8"/>
      <c r="Q48" s="18"/>
      <c r="R48" s="24"/>
      <c r="S48" s="30"/>
      <c r="T48" s="25">
        <f>S48/1.19</f>
        <v>0</v>
      </c>
      <c r="U48" s="27">
        <f>Tabla146[[#This Row],[NETO]]*2%</f>
        <v>0</v>
      </c>
    </row>
    <row r="49" spans="1:25" x14ac:dyDescent="0.3">
      <c r="A49" s="6"/>
      <c r="B49" s="16"/>
      <c r="F49" s="21"/>
      <c r="G49" s="12"/>
      <c r="I49" s="19"/>
      <c r="J49" s="1"/>
      <c r="M49" s="7"/>
      <c r="N49" s="8"/>
      <c r="O49" s="8"/>
      <c r="P49" s="8"/>
      <c r="Q49" s="18"/>
      <c r="R49" s="24"/>
      <c r="S49" s="30"/>
      <c r="T49" s="25">
        <f>S49/1.19</f>
        <v>0</v>
      </c>
      <c r="U49" s="27">
        <f>Tabla146[[#This Row],[NETO]]*2%</f>
        <v>0</v>
      </c>
      <c r="X49" s="127"/>
      <c r="Y49" s="127"/>
    </row>
    <row r="50" spans="1:25" x14ac:dyDescent="0.3">
      <c r="A50" s="6"/>
      <c r="B50" s="16"/>
      <c r="F50" s="21"/>
      <c r="G50" s="12"/>
      <c r="I50" s="19"/>
      <c r="J50" s="1"/>
      <c r="M50" s="7"/>
      <c r="N50" s="8"/>
      <c r="O50" s="8"/>
      <c r="P50" s="8"/>
      <c r="Q50" s="18"/>
      <c r="R50" s="24"/>
      <c r="S50" s="30"/>
      <c r="T50" s="25">
        <f t="shared" si="1"/>
        <v>0</v>
      </c>
      <c r="U50" s="27">
        <f>Tabla146[[#This Row],[NETO]]*2%</f>
        <v>0</v>
      </c>
      <c r="X50" s="51"/>
      <c r="Y50" s="50"/>
    </row>
    <row r="51" spans="1:25" x14ac:dyDescent="0.3">
      <c r="A51" s="6"/>
      <c r="B51" s="16"/>
      <c r="F51" s="21"/>
      <c r="G51" s="12"/>
      <c r="I51" s="19"/>
      <c r="J51" s="1"/>
      <c r="M51" s="7"/>
      <c r="N51" s="8"/>
      <c r="O51" s="8"/>
      <c r="P51" s="8"/>
      <c r="Q51" s="18"/>
      <c r="R51" s="24"/>
      <c r="S51" s="30"/>
      <c r="T51" s="25">
        <f t="shared" si="1"/>
        <v>0</v>
      </c>
      <c r="U51" s="27">
        <f>Tabla146[[#This Row],[NETO]]*2%</f>
        <v>0</v>
      </c>
      <c r="X51" s="51"/>
      <c r="Y51" s="50"/>
    </row>
    <row r="52" spans="1:25" ht="15" thickBot="1" x14ac:dyDescent="0.35">
      <c r="A52" s="5" t="s">
        <v>18</v>
      </c>
      <c r="B52" s="17">
        <f>COUNT(B3:B51)</f>
        <v>0</v>
      </c>
      <c r="C52" s="4"/>
      <c r="D52" s="4"/>
      <c r="E52" s="4"/>
      <c r="F52" s="22"/>
      <c r="G52" s="13"/>
      <c r="H52" s="62"/>
      <c r="I52" s="20"/>
      <c r="J52" s="23"/>
      <c r="K52" s="14"/>
      <c r="L52" s="14"/>
      <c r="M52" s="9"/>
      <c r="N52" s="10"/>
      <c r="O52" s="10"/>
      <c r="P52" s="10"/>
      <c r="Q52" s="11"/>
      <c r="R52" s="31"/>
      <c r="S52" s="32">
        <f>SUM(S3:S51)</f>
        <v>0</v>
      </c>
      <c r="T52" s="32">
        <f>SUM(T3:T51)</f>
        <v>0</v>
      </c>
      <c r="U52" s="32">
        <f>Tabla146[[#This Row],[NETO]]*2%</f>
        <v>0</v>
      </c>
      <c r="X52" s="51"/>
      <c r="Y52" s="50"/>
    </row>
  </sheetData>
  <mergeCells count="5">
    <mergeCell ref="C1:F1"/>
    <mergeCell ref="M1:Q1"/>
    <mergeCell ref="R1:U1"/>
    <mergeCell ref="G1:L1"/>
    <mergeCell ref="X49:Y49"/>
  </mergeCells>
  <phoneticPr fontId="7" type="noConversion"/>
  <pageMargins left="0.7" right="0.7" top="0.75" bottom="0.75" header="0.3" footer="0.3"/>
  <pageSetup paperSize="9" orientation="portrait" r:id="rId1"/>
  <ignoredErrors>
    <ignoredError sqref="T52" calculatedColumn="1"/>
  </ignoredErrors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AD37-BF62-45D1-8507-35953FBB564D}">
  <dimension ref="A1:Z63"/>
  <sheetViews>
    <sheetView topLeftCell="C1" zoomScale="60" zoomScaleNormal="60" workbookViewId="0">
      <selection activeCell="X2" sqref="X2:Z3"/>
    </sheetView>
  </sheetViews>
  <sheetFormatPr baseColWidth="10" defaultRowHeight="14.4" x14ac:dyDescent="0.3"/>
  <cols>
    <col min="3" max="3" width="20.5546875" bestFit="1" customWidth="1"/>
    <col min="5" max="5" width="12" bestFit="1" customWidth="1"/>
    <col min="13" max="13" width="8.109375" customWidth="1"/>
    <col min="14" max="14" width="7.5546875" customWidth="1"/>
    <col min="15" max="15" width="6.6640625" customWidth="1"/>
    <col min="16" max="16" width="7.88671875" customWidth="1"/>
    <col min="19" max="19" width="15.109375" customWidth="1"/>
    <col min="20" max="20" width="14.109375" customWidth="1"/>
    <col min="24" max="24" width="12" style="1" customWidth="1"/>
    <col min="25" max="25" width="12" customWidth="1"/>
    <col min="26" max="26" width="12" style="3" customWidth="1"/>
  </cols>
  <sheetData>
    <row r="1" spans="1:26" ht="18" x14ac:dyDescent="0.35">
      <c r="A1" s="2"/>
      <c r="B1" s="15"/>
      <c r="C1" s="43" t="s">
        <v>1</v>
      </c>
      <c r="D1" s="43"/>
      <c r="E1" s="43"/>
      <c r="F1" s="43"/>
      <c r="G1" s="121" t="s">
        <v>6</v>
      </c>
      <c r="H1" s="122"/>
      <c r="I1" s="122"/>
      <c r="J1" s="122"/>
      <c r="K1" s="123"/>
      <c r="L1" s="123"/>
      <c r="M1" s="121" t="s">
        <v>13</v>
      </c>
      <c r="N1" s="122"/>
      <c r="O1" s="122"/>
      <c r="P1" s="122"/>
      <c r="Q1" s="124"/>
      <c r="R1" s="125" t="s">
        <v>24</v>
      </c>
      <c r="S1" s="126"/>
      <c r="T1" s="126"/>
      <c r="U1" s="126"/>
      <c r="X1" s="1" t="s">
        <v>22</v>
      </c>
      <c r="Y1" t="s">
        <v>25</v>
      </c>
      <c r="Z1" s="3" t="s">
        <v>19</v>
      </c>
    </row>
    <row r="2" spans="1:26" x14ac:dyDescent="0.3">
      <c r="A2" s="2" t="s">
        <v>0</v>
      </c>
      <c r="B2" s="16" t="s">
        <v>22</v>
      </c>
      <c r="C2" t="s">
        <v>3</v>
      </c>
      <c r="D2" t="s">
        <v>2</v>
      </c>
      <c r="E2" t="s">
        <v>4</v>
      </c>
      <c r="F2" t="s">
        <v>5</v>
      </c>
      <c r="G2" s="12" t="s">
        <v>7</v>
      </c>
      <c r="H2" t="s">
        <v>8</v>
      </c>
      <c r="I2" s="19" t="s">
        <v>10</v>
      </c>
      <c r="J2" s="1" t="s">
        <v>9</v>
      </c>
      <c r="K2" t="s">
        <v>11</v>
      </c>
      <c r="L2" t="s">
        <v>12</v>
      </c>
      <c r="M2" s="7" t="s">
        <v>14</v>
      </c>
      <c r="N2" s="8" t="s">
        <v>15</v>
      </c>
      <c r="O2" s="8" t="s">
        <v>16</v>
      </c>
      <c r="P2" s="8" t="s">
        <v>17</v>
      </c>
      <c r="Q2" s="18" t="s">
        <v>21</v>
      </c>
      <c r="R2" s="24" t="s">
        <v>23</v>
      </c>
      <c r="S2" s="29" t="s">
        <v>18</v>
      </c>
      <c r="T2" s="26" t="s">
        <v>20</v>
      </c>
      <c r="U2" s="28" t="s">
        <v>19</v>
      </c>
    </row>
    <row r="3" spans="1:26" x14ac:dyDescent="0.3">
      <c r="A3" s="6"/>
      <c r="B3" s="16"/>
      <c r="F3" s="21"/>
      <c r="G3" s="12"/>
      <c r="I3" s="36"/>
      <c r="J3" s="1"/>
      <c r="M3" s="7"/>
      <c r="N3" s="8"/>
      <c r="O3" s="8"/>
      <c r="P3" s="8"/>
      <c r="Q3" s="18"/>
      <c r="R3" s="24"/>
      <c r="S3" s="29"/>
      <c r="T3" s="25">
        <f>Tabla1462[[#This Row],[TOTAL]]/1.19</f>
        <v>0</v>
      </c>
      <c r="U3" s="27">
        <f>Tabla1462[[#This Row],[NETO]]*2%</f>
        <v>0</v>
      </c>
    </row>
    <row r="4" spans="1:26" x14ac:dyDescent="0.3">
      <c r="A4" s="6"/>
      <c r="B4" s="16"/>
      <c r="F4" s="34"/>
      <c r="G4" s="12"/>
      <c r="I4" s="36"/>
      <c r="J4" s="1"/>
      <c r="M4" s="7"/>
      <c r="N4" s="8"/>
      <c r="O4" s="8"/>
      <c r="P4" s="8"/>
      <c r="Q4" s="18"/>
      <c r="R4" s="24"/>
      <c r="S4" s="29"/>
      <c r="T4" s="25">
        <f>Tabla1462[[#This Row],[TOTAL]]/1.19</f>
        <v>0</v>
      </c>
      <c r="U4" s="27">
        <f>Tabla1462[[#This Row],[NETO]]*2%</f>
        <v>0</v>
      </c>
    </row>
    <row r="5" spans="1:26" x14ac:dyDescent="0.3">
      <c r="A5" s="6"/>
      <c r="B5" s="16"/>
      <c r="F5" s="21"/>
      <c r="G5" s="12"/>
      <c r="I5" s="36"/>
      <c r="J5" s="1"/>
      <c r="M5" s="7"/>
      <c r="N5" s="8"/>
      <c r="O5" s="8"/>
      <c r="P5" s="8"/>
      <c r="Q5" s="18"/>
      <c r="R5" s="24"/>
      <c r="S5" s="29"/>
      <c r="T5" s="25">
        <f>Tabla1462[[#This Row],[TOTAL]]/1.19</f>
        <v>0</v>
      </c>
      <c r="U5" s="27">
        <f>Tabla1462[[#This Row],[NETO]]*2%</f>
        <v>0</v>
      </c>
    </row>
    <row r="6" spans="1:26" x14ac:dyDescent="0.3">
      <c r="A6" s="6"/>
      <c r="B6" s="16"/>
      <c r="F6" s="21"/>
      <c r="G6" s="12"/>
      <c r="I6" s="36"/>
      <c r="J6" s="1"/>
      <c r="M6" s="7"/>
      <c r="N6" s="8"/>
      <c r="O6" s="8"/>
      <c r="P6" s="8"/>
      <c r="Q6" s="18"/>
      <c r="R6" s="24"/>
      <c r="S6" s="29"/>
      <c r="T6" s="25">
        <f>Tabla1462[[#This Row],[TOTAL]]/1.19</f>
        <v>0</v>
      </c>
      <c r="U6" s="27">
        <f>Tabla1462[[#This Row],[NETO]]*2%</f>
        <v>0</v>
      </c>
    </row>
    <row r="7" spans="1:26" x14ac:dyDescent="0.3">
      <c r="A7" s="6"/>
      <c r="B7" s="16"/>
      <c r="F7" s="34"/>
      <c r="G7" s="12"/>
      <c r="I7" s="36"/>
      <c r="J7" s="1"/>
      <c r="M7" s="7"/>
      <c r="N7" s="8"/>
      <c r="O7" s="8"/>
      <c r="P7" s="8"/>
      <c r="Q7" s="18"/>
      <c r="R7" s="24"/>
      <c r="S7" s="29"/>
      <c r="T7" s="25">
        <f>Tabla1462[[#This Row],[TOTAL]]/1.19</f>
        <v>0</v>
      </c>
      <c r="U7" s="27">
        <f>Tabla1462[[#This Row],[NETO]]*2%</f>
        <v>0</v>
      </c>
    </row>
    <row r="8" spans="1:26" x14ac:dyDescent="0.3">
      <c r="A8" s="6"/>
      <c r="B8" s="16"/>
      <c r="F8" s="21"/>
      <c r="G8" s="12"/>
      <c r="I8" s="36"/>
      <c r="J8" s="1"/>
      <c r="M8" s="7"/>
      <c r="N8" s="8"/>
      <c r="O8" s="8"/>
      <c r="P8" s="8"/>
      <c r="Q8" s="18"/>
      <c r="R8" s="24"/>
      <c r="S8" s="29"/>
      <c r="T8" s="25">
        <f>Tabla1462[[#This Row],[TOTAL]]/1.19</f>
        <v>0</v>
      </c>
      <c r="U8" s="27">
        <f>Tabla1462[[#This Row],[NETO]]*2%</f>
        <v>0</v>
      </c>
    </row>
    <row r="9" spans="1:26" x14ac:dyDescent="0.3">
      <c r="A9" s="6"/>
      <c r="B9" s="16"/>
      <c r="F9" s="21"/>
      <c r="G9" s="12"/>
      <c r="I9" s="36"/>
      <c r="J9" s="1"/>
      <c r="M9" s="7"/>
      <c r="N9" s="8"/>
      <c r="O9" s="8"/>
      <c r="P9" s="8"/>
      <c r="Q9" s="18"/>
      <c r="R9" s="24"/>
      <c r="S9" s="29"/>
      <c r="T9" s="25">
        <f>Tabla1462[[#This Row],[TOTAL]]/1.19</f>
        <v>0</v>
      </c>
      <c r="U9" s="27">
        <f>Tabla1462[[#This Row],[NETO]]*2%</f>
        <v>0</v>
      </c>
    </row>
    <row r="10" spans="1:26" x14ac:dyDescent="0.3">
      <c r="A10" s="6"/>
      <c r="B10" s="16"/>
      <c r="F10" s="34"/>
      <c r="G10" s="12"/>
      <c r="I10" s="36"/>
      <c r="J10" s="1"/>
      <c r="M10" s="7"/>
      <c r="N10" s="8"/>
      <c r="O10" s="8"/>
      <c r="P10" s="8"/>
      <c r="Q10" s="18"/>
      <c r="R10" s="24"/>
      <c r="S10" s="29"/>
      <c r="T10" s="25">
        <f>Tabla1462[[#This Row],[TOTAL]]/1.19</f>
        <v>0</v>
      </c>
      <c r="U10" s="27">
        <f>Tabla1462[[#This Row],[NETO]]*2%</f>
        <v>0</v>
      </c>
    </row>
    <row r="11" spans="1:26" x14ac:dyDescent="0.3">
      <c r="A11" s="6"/>
      <c r="B11" s="16"/>
      <c r="F11" s="21"/>
      <c r="G11" s="12"/>
      <c r="H11" s="49"/>
      <c r="I11" s="36"/>
      <c r="J11" s="1"/>
      <c r="M11" s="7"/>
      <c r="N11" s="8"/>
      <c r="O11" s="8"/>
      <c r="P11" s="8"/>
      <c r="Q11" s="18"/>
      <c r="R11" s="24"/>
      <c r="S11" s="29"/>
      <c r="T11" s="25">
        <f>Tabla1462[[#This Row],[TOTAL]]/1.19</f>
        <v>0</v>
      </c>
      <c r="U11" s="27">
        <f>Tabla1462[[#This Row],[NETO]]*2%</f>
        <v>0</v>
      </c>
    </row>
    <row r="12" spans="1:26" x14ac:dyDescent="0.3">
      <c r="A12" s="6"/>
      <c r="B12" s="16"/>
      <c r="F12" s="34"/>
      <c r="G12" s="12"/>
      <c r="H12" s="12"/>
      <c r="I12" s="37"/>
      <c r="J12" s="38"/>
      <c r="M12" s="7"/>
      <c r="N12" s="8"/>
      <c r="O12" s="8"/>
      <c r="P12" s="8"/>
      <c r="Q12" s="18"/>
      <c r="R12" s="24"/>
      <c r="S12" s="29"/>
      <c r="T12" s="25">
        <f>Tabla1462[[#This Row],[TOTAL]]/1.19</f>
        <v>0</v>
      </c>
      <c r="U12" s="27">
        <f>Tabla1462[[#This Row],[NETO]]*2%</f>
        <v>0</v>
      </c>
    </row>
    <row r="13" spans="1:26" x14ac:dyDescent="0.3">
      <c r="A13" s="6"/>
      <c r="B13" s="16"/>
      <c r="F13" s="21"/>
      <c r="G13" s="12"/>
      <c r="H13" s="49"/>
      <c r="I13" s="36"/>
      <c r="J13" s="1"/>
      <c r="M13" s="7"/>
      <c r="N13" s="8"/>
      <c r="O13" s="8"/>
      <c r="P13" s="8"/>
      <c r="Q13" s="18"/>
      <c r="R13" s="24"/>
      <c r="S13" s="29"/>
      <c r="T13" s="25">
        <f>Tabla1462[[#This Row],[TOTAL]]/1.19</f>
        <v>0</v>
      </c>
      <c r="U13" s="27">
        <f>Tabla1462[[#This Row],[NETO]]*2%</f>
        <v>0</v>
      </c>
    </row>
    <row r="14" spans="1:26" x14ac:dyDescent="0.3">
      <c r="A14" s="6"/>
      <c r="B14" s="16"/>
      <c r="F14" s="34"/>
      <c r="G14" s="12"/>
      <c r="I14" s="36"/>
      <c r="J14" s="1"/>
      <c r="M14" s="7"/>
      <c r="N14" s="8"/>
      <c r="O14" s="8"/>
      <c r="P14" s="8"/>
      <c r="Q14" s="18"/>
      <c r="R14" s="24"/>
      <c r="S14" s="29"/>
      <c r="T14" s="25">
        <f>Tabla1462[[#This Row],[TOTAL]]/1.19</f>
        <v>0</v>
      </c>
      <c r="U14" s="27">
        <f>Tabla1462[[#This Row],[NETO]]*2%</f>
        <v>0</v>
      </c>
    </row>
    <row r="15" spans="1:26" x14ac:dyDescent="0.3">
      <c r="A15" s="6"/>
      <c r="B15" s="16"/>
      <c r="F15" s="34"/>
      <c r="G15" s="12"/>
      <c r="I15" s="36"/>
      <c r="J15" s="1"/>
      <c r="M15" s="7"/>
      <c r="N15" s="8"/>
      <c r="O15" s="8"/>
      <c r="P15" s="8"/>
      <c r="Q15" s="18"/>
      <c r="R15" s="24"/>
      <c r="S15" s="30"/>
      <c r="T15" s="25">
        <f>Tabla1462[[#This Row],[TOTAL]]/1.19</f>
        <v>0</v>
      </c>
      <c r="U15" s="27">
        <f>Tabla1462[[#This Row],[NETO]]*2%</f>
        <v>0</v>
      </c>
    </row>
    <row r="16" spans="1:26" x14ac:dyDescent="0.3">
      <c r="A16" s="6"/>
      <c r="B16" s="16"/>
      <c r="F16" s="34"/>
      <c r="G16" s="12"/>
      <c r="H16" s="12"/>
      <c r="I16" s="37"/>
      <c r="J16" s="36"/>
      <c r="M16" s="7"/>
      <c r="N16" s="8"/>
      <c r="O16" s="8"/>
      <c r="P16" s="8"/>
      <c r="Q16" s="18"/>
      <c r="R16" s="24"/>
      <c r="S16" s="30"/>
      <c r="T16" s="25">
        <f>Tabla1462[[#This Row],[TOTAL]]/1.19</f>
        <v>0</v>
      </c>
      <c r="U16" s="27">
        <f>Tabla1462[[#This Row],[NETO]]*2%</f>
        <v>0</v>
      </c>
    </row>
    <row r="17" spans="1:21" x14ac:dyDescent="0.3">
      <c r="A17" s="6"/>
      <c r="B17" s="16"/>
      <c r="F17" s="21"/>
      <c r="G17" s="12"/>
      <c r="I17" s="36"/>
      <c r="J17" s="1"/>
      <c r="M17" s="7"/>
      <c r="N17" s="8"/>
      <c r="O17" s="8"/>
      <c r="P17" s="8"/>
      <c r="Q17" s="18"/>
      <c r="R17" s="24"/>
      <c r="S17" s="30"/>
      <c r="T17" s="25">
        <f>Tabla1462[[#This Row],[TOTAL]]/1.19</f>
        <v>0</v>
      </c>
      <c r="U17" s="27">
        <f>Tabla1462[[#This Row],[NETO]]*2%</f>
        <v>0</v>
      </c>
    </row>
    <row r="18" spans="1:21" x14ac:dyDescent="0.3">
      <c r="A18" s="6"/>
      <c r="B18" s="16"/>
      <c r="F18" s="34"/>
      <c r="G18" s="12"/>
      <c r="I18" s="36"/>
      <c r="J18" s="1"/>
      <c r="M18" s="7"/>
      <c r="N18" s="8"/>
      <c r="O18" s="8"/>
      <c r="P18" s="8"/>
      <c r="Q18" s="18"/>
      <c r="R18" s="24"/>
      <c r="S18" s="30"/>
      <c r="T18" s="25">
        <f>Tabla1462[[#This Row],[TOTAL]]/1.19</f>
        <v>0</v>
      </c>
      <c r="U18" s="27">
        <f>Tabla1462[[#This Row],[NETO]]*2%</f>
        <v>0</v>
      </c>
    </row>
    <row r="19" spans="1:21" x14ac:dyDescent="0.3">
      <c r="A19" s="6"/>
      <c r="B19" s="16"/>
      <c r="F19" s="21"/>
      <c r="G19" s="12"/>
      <c r="I19" s="19"/>
      <c r="J19" s="1"/>
      <c r="M19" s="7"/>
      <c r="N19" s="8"/>
      <c r="O19" s="8"/>
      <c r="P19" s="8"/>
      <c r="Q19" s="18"/>
      <c r="R19" s="24"/>
      <c r="S19" s="30"/>
      <c r="T19" s="25">
        <f>Tabla1462[[#This Row],[TOTAL]]/1.19</f>
        <v>0</v>
      </c>
      <c r="U19" s="27">
        <f>Tabla1462[[#This Row],[NETO]]*2%</f>
        <v>0</v>
      </c>
    </row>
    <row r="20" spans="1:21" x14ac:dyDescent="0.3">
      <c r="A20" s="6"/>
      <c r="B20" s="16"/>
      <c r="F20" s="21"/>
      <c r="G20" s="12"/>
      <c r="I20" s="19"/>
      <c r="J20" s="1"/>
      <c r="M20" s="7"/>
      <c r="N20" s="8"/>
      <c r="O20" s="8"/>
      <c r="P20" s="8"/>
      <c r="Q20" s="18"/>
      <c r="R20" s="24"/>
      <c r="S20" s="30"/>
      <c r="T20" s="25">
        <f>Tabla1462[[#This Row],[TOTAL]]/1.19</f>
        <v>0</v>
      </c>
      <c r="U20" s="27">
        <f>Tabla1462[[#This Row],[NETO]]*2%</f>
        <v>0</v>
      </c>
    </row>
    <row r="21" spans="1:21" x14ac:dyDescent="0.3">
      <c r="A21" s="6"/>
      <c r="B21" s="16"/>
      <c r="F21" s="21"/>
      <c r="G21" s="12"/>
      <c r="I21" s="19"/>
      <c r="J21" s="1"/>
      <c r="M21" s="7"/>
      <c r="N21" s="8"/>
      <c r="O21" s="8"/>
      <c r="P21" s="8"/>
      <c r="Q21" s="18"/>
      <c r="R21" s="24"/>
      <c r="S21" s="30"/>
      <c r="T21" s="25">
        <f>Tabla1462[[#This Row],[TOTAL]]/1.19</f>
        <v>0</v>
      </c>
      <c r="U21" s="27">
        <f>Tabla1462[[#This Row],[NETO]]*2%</f>
        <v>0</v>
      </c>
    </row>
    <row r="22" spans="1:21" x14ac:dyDescent="0.3">
      <c r="A22" s="6"/>
      <c r="B22" s="16"/>
      <c r="F22" s="21"/>
      <c r="G22" s="12"/>
      <c r="H22" s="49"/>
      <c r="I22" s="19"/>
      <c r="J22" s="1"/>
      <c r="M22" s="7"/>
      <c r="N22" s="8"/>
      <c r="O22" s="8"/>
      <c r="P22" s="8"/>
      <c r="Q22" s="18"/>
      <c r="R22" s="24"/>
      <c r="S22" s="30"/>
      <c r="T22" s="25">
        <f>Tabla1462[[#This Row],[TOTAL]]/1.19</f>
        <v>0</v>
      </c>
      <c r="U22" s="27">
        <f>Tabla1462[[#This Row],[NETO]]*2%</f>
        <v>0</v>
      </c>
    </row>
    <row r="23" spans="1:21" x14ac:dyDescent="0.3">
      <c r="A23" s="6"/>
      <c r="B23" s="16"/>
      <c r="F23" s="21"/>
      <c r="G23" s="12"/>
      <c r="I23" s="19"/>
      <c r="J23" s="1"/>
      <c r="M23" s="7"/>
      <c r="N23" s="8"/>
      <c r="O23" s="8"/>
      <c r="P23" s="8"/>
      <c r="Q23" s="18"/>
      <c r="R23" s="24"/>
      <c r="S23" s="30"/>
      <c r="T23" s="25">
        <f>Tabla1462[[#This Row],[TOTAL]]/1.19</f>
        <v>0</v>
      </c>
      <c r="U23" s="27">
        <f>Tabla1462[[#This Row],[NETO]]*2%</f>
        <v>0</v>
      </c>
    </row>
    <row r="24" spans="1:21" x14ac:dyDescent="0.3">
      <c r="A24" s="6"/>
      <c r="B24" s="16"/>
      <c r="F24" s="21"/>
      <c r="G24" s="12"/>
      <c r="H24" s="49"/>
      <c r="I24" s="19"/>
      <c r="J24" s="1"/>
      <c r="M24" s="7"/>
      <c r="N24" s="8"/>
      <c r="O24" s="8"/>
      <c r="P24" s="8"/>
      <c r="Q24" s="18"/>
      <c r="R24" s="24"/>
      <c r="S24" s="30"/>
      <c r="T24" s="25">
        <f>Tabla1462[[#This Row],[TOTAL]]/1.19</f>
        <v>0</v>
      </c>
      <c r="U24" s="27">
        <f>Tabla1462[[#This Row],[NETO]]*2%</f>
        <v>0</v>
      </c>
    </row>
    <row r="25" spans="1:21" x14ac:dyDescent="0.3">
      <c r="A25" s="6"/>
      <c r="B25" s="16"/>
      <c r="F25" s="21"/>
      <c r="G25" s="12"/>
      <c r="I25" s="19"/>
      <c r="J25" s="1"/>
      <c r="M25" s="7"/>
      <c r="N25" s="8"/>
      <c r="O25" s="8"/>
      <c r="P25" s="8"/>
      <c r="Q25" s="18"/>
      <c r="R25" s="24"/>
      <c r="S25" s="30"/>
      <c r="T25" s="25">
        <f>Tabla1462[[#This Row],[TOTAL]]/1.19</f>
        <v>0</v>
      </c>
      <c r="U25" s="27">
        <f>Tabla1462[[#This Row],[NETO]]*2%</f>
        <v>0</v>
      </c>
    </row>
    <row r="26" spans="1:21" x14ac:dyDescent="0.3">
      <c r="A26" s="6"/>
      <c r="B26" s="16"/>
      <c r="F26" s="21"/>
      <c r="G26" s="12"/>
      <c r="I26" s="19"/>
      <c r="J26" s="1"/>
      <c r="L26" s="12"/>
      <c r="M26" s="7"/>
      <c r="N26" s="8"/>
      <c r="O26" s="8"/>
      <c r="P26" s="8"/>
      <c r="Q26" s="18"/>
      <c r="R26" s="24"/>
      <c r="S26" s="30"/>
      <c r="T26" s="25">
        <f>Tabla1462[[#This Row],[TOTAL]]/1.19</f>
        <v>0</v>
      </c>
      <c r="U26" s="27">
        <f>Tabla1462[[#This Row],[NETO]]*2%</f>
        <v>0</v>
      </c>
    </row>
    <row r="27" spans="1:21" x14ac:dyDescent="0.3">
      <c r="A27" s="6"/>
      <c r="B27" s="16"/>
      <c r="F27" s="21"/>
      <c r="G27" s="12"/>
      <c r="I27" s="19"/>
      <c r="J27" s="1"/>
      <c r="L27" s="49"/>
      <c r="M27" s="7"/>
      <c r="N27" s="8"/>
      <c r="O27" s="8"/>
      <c r="P27" s="8"/>
      <c r="Q27" s="18"/>
      <c r="R27" s="24"/>
      <c r="S27" s="30"/>
      <c r="T27" s="25">
        <f>Tabla1462[[#This Row],[TOTAL]]/1.19</f>
        <v>0</v>
      </c>
      <c r="U27" s="27">
        <f>Tabla1462[[#This Row],[NETO]]*2%</f>
        <v>0</v>
      </c>
    </row>
    <row r="28" spans="1:21" x14ac:dyDescent="0.3">
      <c r="A28" s="6"/>
      <c r="B28" s="16"/>
      <c r="F28" s="21"/>
      <c r="G28" s="12"/>
      <c r="I28" s="19"/>
      <c r="J28" s="1"/>
      <c r="M28" s="7"/>
      <c r="N28" s="8"/>
      <c r="O28" s="8"/>
      <c r="P28" s="8"/>
      <c r="Q28" s="18"/>
      <c r="R28" s="24"/>
      <c r="S28" s="30"/>
      <c r="T28" s="25">
        <f>Tabla1462[[#This Row],[TOTAL]]/1.19</f>
        <v>0</v>
      </c>
      <c r="U28" s="27">
        <f>Tabla1462[[#This Row],[NETO]]*2%</f>
        <v>0</v>
      </c>
    </row>
    <row r="29" spans="1:21" x14ac:dyDescent="0.3">
      <c r="A29" s="6"/>
      <c r="B29" s="16"/>
      <c r="F29" s="41"/>
      <c r="G29" s="12"/>
      <c r="I29" s="19"/>
      <c r="J29" s="1"/>
      <c r="M29" s="7"/>
      <c r="N29" s="8"/>
      <c r="O29" s="8"/>
      <c r="P29" s="8"/>
      <c r="Q29" s="18"/>
      <c r="R29" s="24"/>
      <c r="S29" s="30"/>
      <c r="T29" s="25">
        <f>Tabla1462[[#This Row],[TOTAL]]/1.19</f>
        <v>0</v>
      </c>
      <c r="U29" s="27">
        <f>Tabla1462[[#This Row],[NETO]]*2%</f>
        <v>0</v>
      </c>
    </row>
    <row r="30" spans="1:21" x14ac:dyDescent="0.3">
      <c r="A30" s="6"/>
      <c r="B30" s="16"/>
      <c r="F30" s="21"/>
      <c r="G30" s="12"/>
      <c r="I30" s="19"/>
      <c r="J30" s="1"/>
      <c r="M30" s="7"/>
      <c r="N30" s="8"/>
      <c r="O30" s="8"/>
      <c r="P30" s="8"/>
      <c r="Q30" s="18"/>
      <c r="R30" s="24"/>
      <c r="S30" s="30"/>
      <c r="T30" s="25">
        <f>Tabla1462[[#This Row],[TOTAL]]/1.19</f>
        <v>0</v>
      </c>
      <c r="U30" s="27">
        <f>Tabla1462[[#This Row],[NETO]]*2%</f>
        <v>0</v>
      </c>
    </row>
    <row r="31" spans="1:21" x14ac:dyDescent="0.3">
      <c r="A31" s="6"/>
      <c r="B31" s="16"/>
      <c r="F31" s="21"/>
      <c r="G31" s="12"/>
      <c r="I31" s="19"/>
      <c r="J31" s="1"/>
      <c r="M31" s="7"/>
      <c r="N31" s="8"/>
      <c r="O31" s="8"/>
      <c r="P31" s="8"/>
      <c r="Q31" s="18"/>
      <c r="R31" s="24"/>
      <c r="S31" s="30"/>
      <c r="T31" s="25">
        <f>Tabla1462[[#This Row],[TOTAL]]/1.19</f>
        <v>0</v>
      </c>
      <c r="U31" s="27">
        <f>Tabla1462[[#This Row],[NETO]]*2%</f>
        <v>0</v>
      </c>
    </row>
    <row r="32" spans="1:21" x14ac:dyDescent="0.3">
      <c r="A32" s="6"/>
      <c r="B32" s="16"/>
      <c r="F32" s="21"/>
      <c r="G32" s="12"/>
      <c r="H32" s="49"/>
      <c r="I32" s="19"/>
      <c r="J32" s="1"/>
      <c r="M32" s="7"/>
      <c r="N32" s="8"/>
      <c r="O32" s="8"/>
      <c r="P32" s="8"/>
      <c r="Q32" s="18"/>
      <c r="R32" s="24"/>
      <c r="S32" s="30"/>
      <c r="T32" s="25">
        <f>Tabla1462[[#This Row],[TOTAL]]/1.19</f>
        <v>0</v>
      </c>
      <c r="U32" s="27">
        <f>Tabla1462[[#This Row],[NETO]]*2%</f>
        <v>0</v>
      </c>
    </row>
    <row r="33" spans="1:21" x14ac:dyDescent="0.3">
      <c r="A33" s="6"/>
      <c r="B33" s="16"/>
      <c r="F33" s="34"/>
      <c r="G33" s="12"/>
      <c r="I33" s="19"/>
      <c r="J33" s="1"/>
      <c r="M33" s="7"/>
      <c r="N33" s="8"/>
      <c r="O33" s="8"/>
      <c r="P33" s="8"/>
      <c r="Q33" s="18"/>
      <c r="R33" s="24"/>
      <c r="S33" s="30"/>
      <c r="T33" s="25">
        <f>Tabla1462[[#This Row],[TOTAL]]/1.19</f>
        <v>0</v>
      </c>
      <c r="U33" s="27">
        <f>Tabla1462[[#This Row],[NETO]]*2%</f>
        <v>0</v>
      </c>
    </row>
    <row r="34" spans="1:21" x14ac:dyDescent="0.3">
      <c r="A34" s="6"/>
      <c r="B34" s="16"/>
      <c r="F34" s="21"/>
      <c r="G34" s="12"/>
      <c r="I34" s="19"/>
      <c r="J34" s="1"/>
      <c r="M34" s="7"/>
      <c r="N34" s="8"/>
      <c r="O34" s="8"/>
      <c r="P34" s="8"/>
      <c r="Q34" s="18"/>
      <c r="R34" s="24"/>
      <c r="S34" s="30"/>
      <c r="T34" s="25">
        <f>Tabla1462[[#This Row],[TOTAL]]/1.19</f>
        <v>0</v>
      </c>
      <c r="U34" s="27">
        <f>Tabla1462[[#This Row],[NETO]]*2%</f>
        <v>0</v>
      </c>
    </row>
    <row r="35" spans="1:21" x14ac:dyDescent="0.3">
      <c r="A35" s="6"/>
      <c r="B35" s="16"/>
      <c r="F35" s="21"/>
      <c r="G35" s="12"/>
      <c r="I35" s="19"/>
      <c r="J35" s="1"/>
      <c r="M35" s="7"/>
      <c r="N35" s="8"/>
      <c r="O35" s="8"/>
      <c r="P35" s="8"/>
      <c r="Q35" s="18"/>
      <c r="R35" s="24"/>
      <c r="S35" s="30"/>
      <c r="T35" s="25">
        <f>Tabla1462[[#This Row],[TOTAL]]/1.19</f>
        <v>0</v>
      </c>
      <c r="U35" s="27">
        <f>Tabla1462[[#This Row],[NETO]]*2%</f>
        <v>0</v>
      </c>
    </row>
    <row r="36" spans="1:21" x14ac:dyDescent="0.3">
      <c r="A36" s="6"/>
      <c r="B36" s="16"/>
      <c r="F36" s="21"/>
      <c r="G36" s="12"/>
      <c r="I36" s="19"/>
      <c r="J36" s="1"/>
      <c r="M36" s="7"/>
      <c r="N36" s="8"/>
      <c r="O36" s="8"/>
      <c r="P36" s="8"/>
      <c r="Q36" s="18"/>
      <c r="R36" s="24"/>
      <c r="S36" s="30"/>
      <c r="T36" s="25">
        <f>Tabla1462[[#This Row],[TOTAL]]/1.19</f>
        <v>0</v>
      </c>
      <c r="U36" s="27">
        <f>Tabla1462[[#This Row],[NETO]]*2%</f>
        <v>0</v>
      </c>
    </row>
    <row r="37" spans="1:21" x14ac:dyDescent="0.3">
      <c r="A37" s="6"/>
      <c r="B37" s="16"/>
      <c r="F37" s="21"/>
      <c r="G37" s="12"/>
      <c r="I37" s="19"/>
      <c r="J37" s="1"/>
      <c r="M37" s="7"/>
      <c r="N37" s="8"/>
      <c r="O37" s="8"/>
      <c r="P37" s="8"/>
      <c r="Q37" s="18"/>
      <c r="R37" s="24"/>
      <c r="S37" s="30"/>
      <c r="T37" s="25">
        <f>Tabla1462[[#This Row],[TOTAL]]/1.19</f>
        <v>0</v>
      </c>
      <c r="U37" s="27">
        <f>Tabla1462[[#This Row],[NETO]]*2%</f>
        <v>0</v>
      </c>
    </row>
    <row r="38" spans="1:21" x14ac:dyDescent="0.3">
      <c r="A38" s="6"/>
      <c r="B38" s="16"/>
      <c r="F38" s="21"/>
      <c r="G38" s="12"/>
      <c r="I38" s="19"/>
      <c r="J38" s="1"/>
      <c r="M38" s="7"/>
      <c r="N38" s="8"/>
      <c r="O38" s="8"/>
      <c r="P38" s="8"/>
      <c r="Q38" s="18"/>
      <c r="R38" s="24"/>
      <c r="S38" s="30"/>
      <c r="T38" s="25">
        <f>Tabla1462[[#This Row],[TOTAL]]/1.19</f>
        <v>0</v>
      </c>
      <c r="U38" s="27">
        <f>Tabla1462[[#This Row],[NETO]]*2%</f>
        <v>0</v>
      </c>
    </row>
    <row r="39" spans="1:21" x14ac:dyDescent="0.3">
      <c r="A39" s="6"/>
      <c r="B39" s="16"/>
      <c r="F39" s="21"/>
      <c r="G39" s="12"/>
      <c r="H39" s="49"/>
      <c r="I39" s="19"/>
      <c r="J39" s="1"/>
      <c r="M39" s="7"/>
      <c r="N39" s="8"/>
      <c r="O39" s="8"/>
      <c r="P39" s="8"/>
      <c r="Q39" s="18"/>
      <c r="R39" s="24"/>
      <c r="S39" s="30"/>
      <c r="T39" s="25">
        <f>Tabla1462[[#This Row],[TOTAL]]/1.19</f>
        <v>0</v>
      </c>
      <c r="U39" s="27">
        <f>Tabla1462[[#This Row],[NETO]]*2%</f>
        <v>0</v>
      </c>
    </row>
    <row r="40" spans="1:21" x14ac:dyDescent="0.3">
      <c r="A40" s="6"/>
      <c r="B40" s="16"/>
      <c r="F40" s="21"/>
      <c r="G40" s="12"/>
      <c r="I40" s="19"/>
      <c r="J40" s="1"/>
      <c r="M40" s="7"/>
      <c r="N40" s="8"/>
      <c r="O40" s="8"/>
      <c r="P40" s="8"/>
      <c r="Q40" s="18"/>
      <c r="R40" s="24"/>
      <c r="S40" s="30"/>
      <c r="T40" s="25">
        <f>Tabla1462[[#This Row],[TOTAL]]/1.19</f>
        <v>0</v>
      </c>
      <c r="U40" s="27">
        <f>Tabla1462[[#This Row],[NETO]]*2%</f>
        <v>0</v>
      </c>
    </row>
    <row r="41" spans="1:21" x14ac:dyDescent="0.3">
      <c r="A41" s="6"/>
      <c r="B41" s="16"/>
      <c r="F41" s="21"/>
      <c r="G41" s="12"/>
      <c r="I41" s="19"/>
      <c r="J41" s="1"/>
      <c r="M41" s="7"/>
      <c r="N41" s="8"/>
      <c r="O41" s="8"/>
      <c r="P41" s="8"/>
      <c r="Q41" s="18"/>
      <c r="R41" s="24"/>
      <c r="S41" s="30"/>
      <c r="T41" s="25">
        <f>Tabla1462[[#This Row],[TOTAL]]/1.19</f>
        <v>0</v>
      </c>
      <c r="U41" s="27">
        <f>Tabla1462[[#This Row],[NETO]]*2%</f>
        <v>0</v>
      </c>
    </row>
    <row r="42" spans="1:21" x14ac:dyDescent="0.3">
      <c r="A42" s="6"/>
      <c r="B42" s="16"/>
      <c r="F42" s="21"/>
      <c r="G42" s="12"/>
      <c r="I42" s="19"/>
      <c r="J42" s="1"/>
      <c r="M42" s="7"/>
      <c r="N42" s="8"/>
      <c r="O42" s="8"/>
      <c r="P42" s="8"/>
      <c r="Q42" s="18"/>
      <c r="R42" s="24"/>
      <c r="S42" s="30"/>
      <c r="T42" s="25">
        <f>Tabla1462[[#This Row],[TOTAL]]/1.19</f>
        <v>0</v>
      </c>
      <c r="U42" s="27">
        <f>Tabla1462[[#This Row],[NETO]]*2%</f>
        <v>0</v>
      </c>
    </row>
    <row r="43" spans="1:21" x14ac:dyDescent="0.3">
      <c r="A43" s="6"/>
      <c r="B43" s="16"/>
      <c r="F43" s="21"/>
      <c r="G43" s="12"/>
      <c r="I43" s="19"/>
      <c r="J43" s="1"/>
      <c r="M43" s="7"/>
      <c r="N43" s="8"/>
      <c r="O43" s="8"/>
      <c r="P43" s="8"/>
      <c r="Q43" s="18"/>
      <c r="R43" s="24"/>
      <c r="S43" s="30"/>
      <c r="T43" s="25">
        <f>Tabla1462[[#This Row],[TOTAL]]/1.19</f>
        <v>0</v>
      </c>
      <c r="U43" s="27">
        <f>Tabla1462[[#This Row],[NETO]]*2%</f>
        <v>0</v>
      </c>
    </row>
    <row r="44" spans="1:21" x14ac:dyDescent="0.3">
      <c r="A44" s="6"/>
      <c r="B44" s="16"/>
      <c r="F44" s="34"/>
      <c r="G44" s="12"/>
      <c r="I44" s="19"/>
      <c r="J44" s="1"/>
      <c r="M44" s="7"/>
      <c r="N44" s="8"/>
      <c r="O44" s="8"/>
      <c r="P44" s="8"/>
      <c r="Q44" s="18"/>
      <c r="R44" s="24"/>
      <c r="S44" s="30"/>
      <c r="T44" s="25">
        <f>Tabla1462[[#This Row],[TOTAL]]/1.19</f>
        <v>0</v>
      </c>
      <c r="U44" s="27">
        <f>Tabla1462[[#This Row],[NETO]]*2%</f>
        <v>0</v>
      </c>
    </row>
    <row r="45" spans="1:21" x14ac:dyDescent="0.3">
      <c r="A45" s="6"/>
      <c r="B45" s="16"/>
      <c r="F45" s="21"/>
      <c r="G45" s="12"/>
      <c r="I45" s="19"/>
      <c r="J45" s="1"/>
      <c r="M45" s="7"/>
      <c r="N45" s="8"/>
      <c r="O45" s="8"/>
      <c r="P45" s="8"/>
      <c r="Q45" s="18"/>
      <c r="R45" s="24"/>
      <c r="S45" s="30"/>
      <c r="T45" s="25">
        <f>Tabla1462[[#This Row],[TOTAL]]/1.19</f>
        <v>0</v>
      </c>
      <c r="U45" s="27">
        <f>Tabla1462[[#This Row],[NETO]]*2%</f>
        <v>0</v>
      </c>
    </row>
    <row r="46" spans="1:21" x14ac:dyDescent="0.3">
      <c r="A46" s="6"/>
      <c r="B46" s="16"/>
      <c r="F46" s="21"/>
      <c r="G46" s="12"/>
      <c r="I46" s="19"/>
      <c r="J46" s="1"/>
      <c r="M46" s="7"/>
      <c r="N46" s="8"/>
      <c r="O46" s="8"/>
      <c r="P46" s="8"/>
      <c r="Q46" s="18"/>
      <c r="R46" s="24"/>
      <c r="S46" s="30"/>
      <c r="T46" s="25">
        <f>Tabla1462[[#This Row],[TOTAL]]/1.19</f>
        <v>0</v>
      </c>
      <c r="U46" s="27">
        <f>Tabla1462[[#This Row],[NETO]]*2%</f>
        <v>0</v>
      </c>
    </row>
    <row r="47" spans="1:21" x14ac:dyDescent="0.3">
      <c r="A47" s="6"/>
      <c r="B47" s="16"/>
      <c r="F47" s="21"/>
      <c r="G47" s="12"/>
      <c r="I47" s="19"/>
      <c r="J47" s="1"/>
      <c r="M47" s="7"/>
      <c r="N47" s="8"/>
      <c r="O47" s="8"/>
      <c r="P47" s="8"/>
      <c r="Q47" s="18"/>
      <c r="R47" s="24"/>
      <c r="S47" s="30"/>
      <c r="T47" s="25">
        <f>Tabla1462[[#This Row],[TOTAL]]/1.19</f>
        <v>0</v>
      </c>
      <c r="U47" s="27">
        <f>Tabla1462[[#This Row],[NETO]]*2%</f>
        <v>0</v>
      </c>
    </row>
    <row r="48" spans="1:21" x14ac:dyDescent="0.3">
      <c r="A48" s="6"/>
      <c r="B48" s="16"/>
      <c r="F48" s="21"/>
      <c r="G48" s="12"/>
      <c r="I48" s="19"/>
      <c r="J48" s="1"/>
      <c r="M48" s="7"/>
      <c r="N48" s="8"/>
      <c r="O48" s="8"/>
      <c r="P48" s="8"/>
      <c r="Q48" s="18"/>
      <c r="R48" s="24"/>
      <c r="S48" s="30"/>
      <c r="T48" s="25">
        <f t="shared" ref="T48:T54" si="0">S48/1.19</f>
        <v>0</v>
      </c>
      <c r="U48" s="27">
        <f>Tabla1462[[#This Row],[NETO]]*2%</f>
        <v>0</v>
      </c>
    </row>
    <row r="49" spans="1:25" x14ac:dyDescent="0.3">
      <c r="A49" s="6"/>
      <c r="B49" s="16"/>
      <c r="F49" s="21"/>
      <c r="G49" s="12"/>
      <c r="I49" s="19"/>
      <c r="J49" s="1"/>
      <c r="M49" s="7"/>
      <c r="N49" s="8"/>
      <c r="O49" s="8"/>
      <c r="P49" s="8"/>
      <c r="Q49" s="18"/>
      <c r="R49" s="24"/>
      <c r="S49" s="30"/>
      <c r="T49" s="25">
        <f t="shared" si="0"/>
        <v>0</v>
      </c>
      <c r="U49" s="27">
        <f>Tabla1462[[#This Row],[NETO]]*2%</f>
        <v>0</v>
      </c>
    </row>
    <row r="50" spans="1:25" x14ac:dyDescent="0.3">
      <c r="A50" s="6"/>
      <c r="B50" s="16"/>
      <c r="F50" s="21"/>
      <c r="G50" s="12"/>
      <c r="I50" s="19"/>
      <c r="J50" s="1"/>
      <c r="M50" s="7"/>
      <c r="N50" s="8"/>
      <c r="O50" s="8"/>
      <c r="P50" s="8"/>
      <c r="Q50" s="18"/>
      <c r="R50" s="24"/>
      <c r="S50" s="30"/>
      <c r="T50" s="25">
        <f t="shared" si="0"/>
        <v>0</v>
      </c>
      <c r="U50" s="27">
        <f>Tabla1462[[#This Row],[NETO]]*2%</f>
        <v>0</v>
      </c>
    </row>
    <row r="51" spans="1:25" x14ac:dyDescent="0.3">
      <c r="A51" s="6"/>
      <c r="B51" s="16"/>
      <c r="F51" s="21"/>
      <c r="G51" s="12"/>
      <c r="I51" s="19"/>
      <c r="J51" s="1"/>
      <c r="M51" s="7"/>
      <c r="N51" s="8"/>
      <c r="O51" s="8"/>
      <c r="P51" s="8"/>
      <c r="Q51" s="18"/>
      <c r="R51" s="24"/>
      <c r="S51" s="30"/>
      <c r="T51" s="25">
        <f t="shared" si="0"/>
        <v>0</v>
      </c>
      <c r="U51" s="27">
        <f>Tabla1462[[#This Row],[NETO]]*2%</f>
        <v>0</v>
      </c>
    </row>
    <row r="52" spans="1:25" x14ac:dyDescent="0.3">
      <c r="A52" s="6"/>
      <c r="B52" s="16"/>
      <c r="F52" s="21"/>
      <c r="G52" s="12"/>
      <c r="I52" s="19"/>
      <c r="J52" s="1"/>
      <c r="M52" s="7"/>
      <c r="N52" s="8"/>
      <c r="O52" s="8"/>
      <c r="P52" s="8"/>
      <c r="Q52" s="18"/>
      <c r="R52" s="24"/>
      <c r="S52" s="30"/>
      <c r="T52" s="25">
        <f t="shared" si="0"/>
        <v>0</v>
      </c>
      <c r="U52" s="27">
        <f>Tabla1462[[#This Row],[NETO]]*2%</f>
        <v>0</v>
      </c>
    </row>
    <row r="53" spans="1:25" x14ac:dyDescent="0.3">
      <c r="A53" s="6"/>
      <c r="B53" s="16"/>
      <c r="F53" s="21"/>
      <c r="G53" s="12"/>
      <c r="I53" s="19"/>
      <c r="J53" s="1"/>
      <c r="M53" s="7"/>
      <c r="N53" s="8"/>
      <c r="O53" s="8"/>
      <c r="P53" s="8"/>
      <c r="Q53" s="18"/>
      <c r="R53" s="24"/>
      <c r="S53" s="30"/>
      <c r="T53" s="25">
        <f t="shared" si="0"/>
        <v>0</v>
      </c>
      <c r="U53" s="27">
        <f>Tabla1462[[#This Row],[NETO]]*2%</f>
        <v>0</v>
      </c>
    </row>
    <row r="54" spans="1:25" x14ac:dyDescent="0.3">
      <c r="A54" s="6"/>
      <c r="B54" s="16"/>
      <c r="F54" s="21"/>
      <c r="G54" s="12"/>
      <c r="I54" s="19"/>
      <c r="J54" s="1"/>
      <c r="M54" s="7"/>
      <c r="N54" s="8"/>
      <c r="O54" s="8"/>
      <c r="P54" s="8"/>
      <c r="Q54" s="18"/>
      <c r="R54" s="24"/>
      <c r="S54" s="30"/>
      <c r="T54" s="25">
        <f t="shared" si="0"/>
        <v>0</v>
      </c>
      <c r="U54" s="27">
        <f>Tabla1462[[#This Row],[NETO]]*2%</f>
        <v>0</v>
      </c>
    </row>
    <row r="55" spans="1:25" x14ac:dyDescent="0.3">
      <c r="A55" s="6"/>
      <c r="B55" s="16"/>
      <c r="F55" s="21"/>
      <c r="G55" s="12"/>
      <c r="H55" s="48"/>
      <c r="I55" s="19"/>
      <c r="J55" s="1"/>
      <c r="M55" s="7"/>
      <c r="N55" s="8"/>
      <c r="O55" s="8"/>
      <c r="P55" s="8"/>
      <c r="Q55" s="18"/>
      <c r="R55" s="24"/>
      <c r="S55" s="30"/>
      <c r="T55" s="25">
        <f>S55/1.19</f>
        <v>0</v>
      </c>
      <c r="U55" s="27">
        <f>Tabla1462[[#This Row],[NETO]]*2%</f>
        <v>0</v>
      </c>
    </row>
    <row r="56" spans="1:25" x14ac:dyDescent="0.3">
      <c r="A56" s="6"/>
      <c r="B56" s="16"/>
      <c r="F56" s="42"/>
      <c r="G56" s="12"/>
      <c r="I56" s="19"/>
      <c r="J56" s="1"/>
      <c r="M56" s="7"/>
      <c r="N56" s="8"/>
      <c r="O56" s="8"/>
      <c r="P56" s="8"/>
      <c r="Q56" s="18"/>
      <c r="R56" s="24"/>
      <c r="S56" s="30"/>
      <c r="T56" s="25">
        <f>S56/1.19</f>
        <v>0</v>
      </c>
      <c r="U56" s="27">
        <f>Tabla1462[[#This Row],[NETO]]*2%</f>
        <v>0</v>
      </c>
    </row>
    <row r="57" spans="1:25" x14ac:dyDescent="0.3">
      <c r="A57" s="6"/>
      <c r="B57" s="16"/>
      <c r="F57" s="21"/>
      <c r="G57" s="12"/>
      <c r="I57" s="19"/>
      <c r="J57" s="1"/>
      <c r="M57" s="7"/>
      <c r="N57" s="8"/>
      <c r="O57" s="8"/>
      <c r="P57" s="8"/>
      <c r="Q57" s="18"/>
      <c r="R57" s="24"/>
      <c r="S57" s="30"/>
      <c r="T57" s="25">
        <f>S57/1.19</f>
        <v>0</v>
      </c>
      <c r="U57" s="27">
        <f>Tabla1462[[#This Row],[NETO]]*2%</f>
        <v>0</v>
      </c>
      <c r="X57" s="127"/>
      <c r="Y57" s="127"/>
    </row>
    <row r="58" spans="1:25" x14ac:dyDescent="0.3">
      <c r="A58" s="6"/>
      <c r="B58" s="16"/>
      <c r="F58" s="21"/>
      <c r="G58" s="12"/>
      <c r="I58" s="19"/>
      <c r="J58" s="1"/>
      <c r="M58" s="7"/>
      <c r="N58" s="8"/>
      <c r="O58" s="8"/>
      <c r="P58" s="8"/>
      <c r="Q58" s="18"/>
      <c r="R58" s="24"/>
      <c r="S58" s="30"/>
      <c r="T58" s="25">
        <f>S58/1.19</f>
        <v>0</v>
      </c>
      <c r="U58" s="27">
        <f>Tabla1462[[#This Row],[NETO]]*2%</f>
        <v>0</v>
      </c>
      <c r="X58" s="51"/>
      <c r="Y58" s="50"/>
    </row>
    <row r="59" spans="1:25" x14ac:dyDescent="0.3">
      <c r="A59" s="6"/>
      <c r="B59" s="16"/>
      <c r="F59" s="21"/>
      <c r="G59" s="12"/>
      <c r="I59" s="19"/>
      <c r="J59" s="1"/>
      <c r="M59" s="7"/>
      <c r="N59" s="8"/>
      <c r="O59" s="8"/>
      <c r="P59" s="8"/>
      <c r="Q59" s="18"/>
      <c r="R59" s="24"/>
      <c r="S59" s="30"/>
      <c r="T59" s="25">
        <f>Tabla1462[[#This Row],[TOTAL]]/1.19</f>
        <v>0</v>
      </c>
      <c r="U59" s="27">
        <f>Tabla1462[[#This Row],[NETO]]*2%</f>
        <v>0</v>
      </c>
      <c r="X59" s="51"/>
      <c r="Y59" s="50"/>
    </row>
    <row r="60" spans="1:25" ht="15" thickBot="1" x14ac:dyDescent="0.35">
      <c r="A60" s="5" t="s">
        <v>18</v>
      </c>
      <c r="B60" s="17">
        <f>COUNT(B3:B59)</f>
        <v>0</v>
      </c>
      <c r="C60" s="4"/>
      <c r="D60" s="4"/>
      <c r="E60" s="4"/>
      <c r="F60" s="22"/>
      <c r="G60" s="13"/>
      <c r="H60" s="14"/>
      <c r="I60" s="20"/>
      <c r="J60" s="23"/>
      <c r="K60" s="14"/>
      <c r="L60" s="14"/>
      <c r="M60" s="9"/>
      <c r="N60" s="10"/>
      <c r="O60" s="10"/>
      <c r="P60" s="10"/>
      <c r="Q60" s="11"/>
      <c r="R60" s="31"/>
      <c r="S60" s="32">
        <f>SUM(S3:S59)</f>
        <v>0</v>
      </c>
      <c r="T60" s="32">
        <f>SUM(T3:T59)</f>
        <v>0</v>
      </c>
      <c r="U60" s="32">
        <f>Tabla1462[[#This Row],[NETO]]*2%</f>
        <v>0</v>
      </c>
      <c r="X60" s="51"/>
      <c r="Y60" s="50"/>
    </row>
    <row r="62" spans="1:25" x14ac:dyDescent="0.3">
      <c r="T62" s="40"/>
      <c r="U62" s="39"/>
    </row>
    <row r="63" spans="1:25" x14ac:dyDescent="0.3">
      <c r="U63" s="39"/>
      <c r="V63" s="39"/>
    </row>
  </sheetData>
  <mergeCells count="4">
    <mergeCell ref="G1:L1"/>
    <mergeCell ref="M1:Q1"/>
    <mergeCell ref="R1:U1"/>
    <mergeCell ref="X57:Y57"/>
  </mergeCells>
  <pageMargins left="0.7" right="0.7" top="0.75" bottom="0.75" header="0.3" footer="0.3"/>
  <pageSetup paperSize="9" orientation="portrait" r:id="rId1"/>
  <ignoredErrors>
    <ignoredError sqref="T60" calculatedColumn="1"/>
  </ignoredErrors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5CCB-A9D5-4CE5-A0D9-88222AB30370}">
  <dimension ref="A1:Z56"/>
  <sheetViews>
    <sheetView zoomScale="57" zoomScaleNormal="57" workbookViewId="0">
      <selection sqref="A1:XFD1048576"/>
    </sheetView>
  </sheetViews>
  <sheetFormatPr baseColWidth="10" defaultRowHeight="14.4" x14ac:dyDescent="0.3"/>
  <cols>
    <col min="3" max="3" width="20.5546875" bestFit="1" customWidth="1"/>
    <col min="5" max="5" width="12" bestFit="1" customWidth="1"/>
    <col min="13" max="13" width="8.109375" customWidth="1"/>
    <col min="14" max="14" width="7.5546875" customWidth="1"/>
    <col min="15" max="15" width="6.6640625" customWidth="1"/>
    <col min="16" max="16" width="7.88671875" customWidth="1"/>
    <col min="19" max="19" width="15.109375" customWidth="1"/>
    <col min="20" max="20" width="16.33203125" customWidth="1"/>
    <col min="24" max="24" width="12" style="1" customWidth="1"/>
    <col min="25" max="25" width="12" customWidth="1"/>
    <col min="26" max="26" width="12" style="3" customWidth="1"/>
  </cols>
  <sheetData>
    <row r="1" spans="1:26" ht="18" x14ac:dyDescent="0.35">
      <c r="A1" s="2"/>
      <c r="B1" s="15"/>
      <c r="C1" s="131" t="s">
        <v>1</v>
      </c>
      <c r="D1" s="132"/>
      <c r="E1" s="132"/>
      <c r="F1" s="133"/>
      <c r="G1" s="121" t="s">
        <v>6</v>
      </c>
      <c r="H1" s="122"/>
      <c r="I1" s="122"/>
      <c r="J1" s="122"/>
      <c r="K1" s="123"/>
      <c r="L1" s="123"/>
      <c r="M1" s="121" t="s">
        <v>13</v>
      </c>
      <c r="N1" s="122"/>
      <c r="O1" s="122"/>
      <c r="P1" s="122"/>
      <c r="Q1" s="124"/>
      <c r="R1" s="125" t="s">
        <v>24</v>
      </c>
      <c r="S1" s="126"/>
      <c r="T1" s="126"/>
      <c r="U1" s="126"/>
      <c r="X1" s="1" t="s">
        <v>22</v>
      </c>
      <c r="Y1" t="s">
        <v>25</v>
      </c>
      <c r="Z1" s="3" t="s">
        <v>19</v>
      </c>
    </row>
    <row r="2" spans="1:26" x14ac:dyDescent="0.3">
      <c r="A2" s="2" t="s">
        <v>0</v>
      </c>
      <c r="B2" s="16" t="s">
        <v>22</v>
      </c>
      <c r="C2" t="s">
        <v>3</v>
      </c>
      <c r="D2" t="s">
        <v>2</v>
      </c>
      <c r="E2" t="s">
        <v>4</v>
      </c>
      <c r="F2" t="s">
        <v>5</v>
      </c>
      <c r="G2" s="12" t="s">
        <v>7</v>
      </c>
      <c r="H2" t="s">
        <v>8</v>
      </c>
      <c r="I2" s="19" t="s">
        <v>10</v>
      </c>
      <c r="J2" s="1" t="s">
        <v>9</v>
      </c>
      <c r="K2" t="s">
        <v>11</v>
      </c>
      <c r="L2" t="s">
        <v>12</v>
      </c>
      <c r="M2" s="7" t="s">
        <v>14</v>
      </c>
      <c r="N2" s="8" t="s">
        <v>15</v>
      </c>
      <c r="O2" s="8" t="s">
        <v>16</v>
      </c>
      <c r="P2" s="8" t="s">
        <v>17</v>
      </c>
      <c r="Q2" s="18" t="s">
        <v>21</v>
      </c>
      <c r="R2" s="24" t="s">
        <v>23</v>
      </c>
      <c r="S2" s="29" t="s">
        <v>18</v>
      </c>
      <c r="T2" s="26" t="s">
        <v>20</v>
      </c>
      <c r="U2" s="28" t="s">
        <v>19</v>
      </c>
    </row>
    <row r="3" spans="1:26" x14ac:dyDescent="0.3">
      <c r="A3" s="6"/>
      <c r="B3" s="16"/>
      <c r="F3" s="21"/>
      <c r="G3" s="12"/>
      <c r="I3" s="36"/>
      <c r="J3" s="1"/>
      <c r="M3" s="7"/>
      <c r="N3" s="8"/>
      <c r="O3" s="8"/>
      <c r="P3" s="8"/>
      <c r="Q3" s="18"/>
      <c r="R3" s="24"/>
      <c r="S3" s="29"/>
      <c r="T3" s="25">
        <f>Tabla14628[[#This Row],[TOTAL]]/1.19</f>
        <v>0</v>
      </c>
      <c r="U3" s="27">
        <f>Tabla14628[[#This Row],[NETO]]*2%</f>
        <v>0</v>
      </c>
    </row>
    <row r="4" spans="1:26" x14ac:dyDescent="0.3">
      <c r="A4" s="6"/>
      <c r="B4" s="16"/>
      <c r="F4" s="34"/>
      <c r="G4" s="12"/>
      <c r="I4" s="36"/>
      <c r="J4" s="1"/>
      <c r="M4" s="7"/>
      <c r="N4" s="8"/>
      <c r="O4" s="8"/>
      <c r="P4" s="8"/>
      <c r="Q4" s="18"/>
      <c r="R4" s="24"/>
      <c r="S4" s="29"/>
      <c r="T4" s="25">
        <f>Tabla14628[[#This Row],[TOTAL]]/1.19</f>
        <v>0</v>
      </c>
      <c r="U4" s="27">
        <f>Tabla14628[[#This Row],[NETO]]*2%</f>
        <v>0</v>
      </c>
    </row>
    <row r="5" spans="1:26" x14ac:dyDescent="0.3">
      <c r="A5" s="6"/>
      <c r="B5" s="16"/>
      <c r="F5" s="21"/>
      <c r="G5" s="12"/>
      <c r="I5" s="36"/>
      <c r="J5" s="1"/>
      <c r="M5" s="7"/>
      <c r="N5" s="8"/>
      <c r="O5" s="8"/>
      <c r="P5" s="8"/>
      <c r="Q5" s="18"/>
      <c r="R5" s="24"/>
      <c r="S5" s="29"/>
      <c r="T5" s="25">
        <f>Tabla14628[[#This Row],[TOTAL]]/1.19</f>
        <v>0</v>
      </c>
      <c r="U5" s="27">
        <f>Tabla14628[[#This Row],[NETO]]*2%</f>
        <v>0</v>
      </c>
    </row>
    <row r="6" spans="1:26" x14ac:dyDescent="0.3">
      <c r="A6" s="6"/>
      <c r="B6" s="16"/>
      <c r="F6" s="21"/>
      <c r="G6" s="12"/>
      <c r="I6" s="36"/>
      <c r="J6" s="1"/>
      <c r="M6" s="7"/>
      <c r="N6" s="8"/>
      <c r="O6" s="8"/>
      <c r="P6" s="8"/>
      <c r="Q6" s="18"/>
      <c r="R6" s="24"/>
      <c r="S6" s="29"/>
      <c r="T6" s="25">
        <f>Tabla14628[[#This Row],[TOTAL]]/1.19</f>
        <v>0</v>
      </c>
      <c r="U6" s="27">
        <f>Tabla14628[[#This Row],[NETO]]*2%</f>
        <v>0</v>
      </c>
    </row>
    <row r="7" spans="1:26" x14ac:dyDescent="0.3">
      <c r="A7" s="6"/>
      <c r="B7" s="16"/>
      <c r="F7" s="34"/>
      <c r="G7" s="12"/>
      <c r="I7" s="36"/>
      <c r="J7" s="1"/>
      <c r="M7" s="7"/>
      <c r="N7" s="8"/>
      <c r="O7" s="8"/>
      <c r="P7" s="8"/>
      <c r="Q7" s="18"/>
      <c r="R7" s="24"/>
      <c r="S7" s="29"/>
      <c r="T7" s="25">
        <f>Tabla14628[[#This Row],[TOTAL]]/1.19</f>
        <v>0</v>
      </c>
      <c r="U7" s="27">
        <f>Tabla14628[[#This Row],[NETO]]*2%</f>
        <v>0</v>
      </c>
    </row>
    <row r="8" spans="1:26" x14ac:dyDescent="0.3">
      <c r="A8" s="6"/>
      <c r="B8" s="16"/>
      <c r="F8" s="21"/>
      <c r="G8" s="12"/>
      <c r="I8" s="36"/>
      <c r="J8" s="1"/>
      <c r="M8" s="7"/>
      <c r="N8" s="8"/>
      <c r="O8" s="8"/>
      <c r="P8" s="8"/>
      <c r="Q8" s="18"/>
      <c r="R8" s="24"/>
      <c r="S8" s="29"/>
      <c r="T8" s="25">
        <f>Tabla14628[[#This Row],[TOTAL]]/1.19</f>
        <v>0</v>
      </c>
      <c r="U8" s="27">
        <f>Tabla14628[[#This Row],[NETO]]*2%</f>
        <v>0</v>
      </c>
    </row>
    <row r="9" spans="1:26" x14ac:dyDescent="0.3">
      <c r="A9" s="6"/>
      <c r="B9" s="16"/>
      <c r="F9" s="21"/>
      <c r="G9" s="12"/>
      <c r="I9" s="36"/>
      <c r="J9" s="1"/>
      <c r="M9" s="7"/>
      <c r="N9" s="8"/>
      <c r="O9" s="8"/>
      <c r="P9" s="8"/>
      <c r="Q9" s="18"/>
      <c r="R9" s="24"/>
      <c r="S9" s="29"/>
      <c r="T9" s="25">
        <f>Tabla14628[[#This Row],[TOTAL]]/1.19</f>
        <v>0</v>
      </c>
      <c r="U9" s="27">
        <f>Tabla14628[[#This Row],[NETO]]*2%</f>
        <v>0</v>
      </c>
    </row>
    <row r="10" spans="1:26" x14ac:dyDescent="0.3">
      <c r="A10" s="6"/>
      <c r="B10" s="16"/>
      <c r="F10" s="34"/>
      <c r="G10" s="12"/>
      <c r="I10" s="36"/>
      <c r="J10" s="1"/>
      <c r="M10" s="7"/>
      <c r="N10" s="8"/>
      <c r="O10" s="8"/>
      <c r="P10" s="8"/>
      <c r="Q10" s="18"/>
      <c r="R10" s="24"/>
      <c r="S10" s="29"/>
      <c r="T10" s="25">
        <f>Tabla14628[[#This Row],[TOTAL]]/1.19</f>
        <v>0</v>
      </c>
      <c r="U10" s="27">
        <f>Tabla14628[[#This Row],[NETO]]*2%</f>
        <v>0</v>
      </c>
    </row>
    <row r="11" spans="1:26" x14ac:dyDescent="0.3">
      <c r="A11" s="6"/>
      <c r="B11" s="16"/>
      <c r="F11" s="21"/>
      <c r="G11" s="12"/>
      <c r="I11" s="36"/>
      <c r="J11" s="1"/>
      <c r="M11" s="7"/>
      <c r="N11" s="8"/>
      <c r="O11" s="8"/>
      <c r="P11" s="8"/>
      <c r="Q11" s="18"/>
      <c r="R11" s="24"/>
      <c r="S11" s="29"/>
      <c r="T11" s="25">
        <f>Tabla14628[[#This Row],[TOTAL]]/1.19</f>
        <v>0</v>
      </c>
      <c r="U11" s="27">
        <f>Tabla14628[[#This Row],[NETO]]*2%</f>
        <v>0</v>
      </c>
    </row>
    <row r="12" spans="1:26" x14ac:dyDescent="0.3">
      <c r="A12" s="6"/>
      <c r="B12" s="16"/>
      <c r="F12" s="34"/>
      <c r="G12" s="12"/>
      <c r="H12" s="12"/>
      <c r="I12" s="37"/>
      <c r="J12" s="38"/>
      <c r="M12" s="7"/>
      <c r="N12" s="8"/>
      <c r="O12" s="8"/>
      <c r="P12" s="8"/>
      <c r="Q12" s="18"/>
      <c r="R12" s="24"/>
      <c r="S12" s="29"/>
      <c r="T12" s="25">
        <f>Tabla14628[[#This Row],[TOTAL]]/1.19</f>
        <v>0</v>
      </c>
      <c r="U12" s="27">
        <f>Tabla14628[[#This Row],[NETO]]*2%</f>
        <v>0</v>
      </c>
    </row>
    <row r="13" spans="1:26" x14ac:dyDescent="0.3">
      <c r="A13" s="6"/>
      <c r="B13" s="16"/>
      <c r="F13" s="21"/>
      <c r="G13" s="12"/>
      <c r="I13" s="36"/>
      <c r="J13" s="1"/>
      <c r="M13" s="7"/>
      <c r="N13" s="8"/>
      <c r="O13" s="8"/>
      <c r="P13" s="8"/>
      <c r="Q13" s="18"/>
      <c r="R13" s="24"/>
      <c r="S13" s="29"/>
      <c r="T13" s="25">
        <f>Tabla14628[[#This Row],[TOTAL]]/1.19</f>
        <v>0</v>
      </c>
      <c r="U13" s="27">
        <f>Tabla14628[[#This Row],[NETO]]*2%</f>
        <v>0</v>
      </c>
    </row>
    <row r="14" spans="1:26" x14ac:dyDescent="0.3">
      <c r="A14" s="6"/>
      <c r="B14" s="16"/>
      <c r="F14" s="34"/>
      <c r="G14" s="12"/>
      <c r="I14" s="36"/>
      <c r="J14" s="1"/>
      <c r="M14" s="7"/>
      <c r="N14" s="8"/>
      <c r="O14" s="8"/>
      <c r="P14" s="8"/>
      <c r="Q14" s="18"/>
      <c r="R14" s="24"/>
      <c r="S14" s="29"/>
      <c r="T14" s="25">
        <f>Tabla14628[[#This Row],[TOTAL]]/1.19</f>
        <v>0</v>
      </c>
      <c r="U14" s="27">
        <f>Tabla14628[[#This Row],[NETO]]*2%</f>
        <v>0</v>
      </c>
    </row>
    <row r="15" spans="1:26" x14ac:dyDescent="0.3">
      <c r="A15" s="6"/>
      <c r="B15" s="16"/>
      <c r="F15" s="34"/>
      <c r="G15" s="12"/>
      <c r="I15" s="36"/>
      <c r="J15" s="1"/>
      <c r="M15" s="7"/>
      <c r="N15" s="8"/>
      <c r="O15" s="8"/>
      <c r="P15" s="8"/>
      <c r="Q15" s="18"/>
      <c r="R15" s="24"/>
      <c r="S15" s="30"/>
      <c r="T15" s="25">
        <f>Tabla14628[[#This Row],[TOTAL]]/1.19</f>
        <v>0</v>
      </c>
      <c r="U15" s="27">
        <f>Tabla14628[[#This Row],[NETO]]*2%</f>
        <v>0</v>
      </c>
    </row>
    <row r="16" spans="1:26" x14ac:dyDescent="0.3">
      <c r="A16" s="6"/>
      <c r="B16" s="16"/>
      <c r="F16" s="34"/>
      <c r="G16" s="12"/>
      <c r="H16" s="12"/>
      <c r="I16" s="37"/>
      <c r="J16" s="36"/>
      <c r="M16" s="7"/>
      <c r="N16" s="8"/>
      <c r="O16" s="8"/>
      <c r="P16" s="8"/>
      <c r="Q16" s="18"/>
      <c r="R16" s="24"/>
      <c r="S16" s="30"/>
      <c r="T16" s="25">
        <f>Tabla14628[[#This Row],[TOTAL]]/1.19</f>
        <v>0</v>
      </c>
      <c r="U16" s="27">
        <f>Tabla14628[[#This Row],[NETO]]*2%</f>
        <v>0</v>
      </c>
    </row>
    <row r="17" spans="1:21" x14ac:dyDescent="0.3">
      <c r="A17" s="6"/>
      <c r="B17" s="16"/>
      <c r="F17" s="21"/>
      <c r="G17" s="12"/>
      <c r="I17" s="36"/>
      <c r="J17" s="1"/>
      <c r="M17" s="7"/>
      <c r="N17" s="8"/>
      <c r="O17" s="8"/>
      <c r="P17" s="8"/>
      <c r="Q17" s="18"/>
      <c r="R17" s="24"/>
      <c r="S17" s="30"/>
      <c r="T17" s="25">
        <f>Tabla14628[[#This Row],[TOTAL]]/1.19</f>
        <v>0</v>
      </c>
      <c r="U17" s="27">
        <f>Tabla14628[[#This Row],[NETO]]*2%</f>
        <v>0</v>
      </c>
    </row>
    <row r="18" spans="1:21" x14ac:dyDescent="0.3">
      <c r="A18" s="6"/>
      <c r="B18" s="16"/>
      <c r="F18" s="34"/>
      <c r="G18" s="12"/>
      <c r="I18" s="36"/>
      <c r="J18" s="1"/>
      <c r="M18" s="7"/>
      <c r="N18" s="8"/>
      <c r="O18" s="8"/>
      <c r="P18" s="8"/>
      <c r="Q18" s="18"/>
      <c r="R18" s="24"/>
      <c r="S18" s="30"/>
      <c r="T18" s="25">
        <f>Tabla14628[[#This Row],[TOTAL]]/1.19</f>
        <v>0</v>
      </c>
      <c r="U18" s="27">
        <f>Tabla14628[[#This Row],[NETO]]*2%</f>
        <v>0</v>
      </c>
    </row>
    <row r="19" spans="1:21" x14ac:dyDescent="0.3">
      <c r="A19" s="6"/>
      <c r="B19" s="16"/>
      <c r="F19" s="21"/>
      <c r="G19" s="12"/>
      <c r="I19" s="19"/>
      <c r="J19" s="1"/>
      <c r="M19" s="7"/>
      <c r="N19" s="8"/>
      <c r="O19" s="8"/>
      <c r="P19" s="8"/>
      <c r="Q19" s="18"/>
      <c r="R19" s="24"/>
      <c r="S19" s="30"/>
      <c r="T19" s="25">
        <f>Tabla14628[[#This Row],[TOTAL]]/1.19</f>
        <v>0</v>
      </c>
      <c r="U19" s="27">
        <f>Tabla14628[[#This Row],[NETO]]*2%</f>
        <v>0</v>
      </c>
    </row>
    <row r="20" spans="1:21" x14ac:dyDescent="0.3">
      <c r="A20" s="6"/>
      <c r="B20" s="16"/>
      <c r="F20" s="21"/>
      <c r="G20" s="12"/>
      <c r="I20" s="19"/>
      <c r="J20" s="1"/>
      <c r="M20" s="7"/>
      <c r="N20" s="8"/>
      <c r="O20" s="8"/>
      <c r="P20" s="8"/>
      <c r="Q20" s="18"/>
      <c r="R20" s="24"/>
      <c r="S20" s="30"/>
      <c r="T20" s="25">
        <f>Tabla14628[[#This Row],[TOTAL]]/1.19</f>
        <v>0</v>
      </c>
      <c r="U20" s="27">
        <f>Tabla14628[[#This Row],[NETO]]*2%</f>
        <v>0</v>
      </c>
    </row>
    <row r="21" spans="1:21" x14ac:dyDescent="0.3">
      <c r="A21" s="6"/>
      <c r="B21" s="16"/>
      <c r="F21" s="21"/>
      <c r="G21" s="12"/>
      <c r="I21" s="19"/>
      <c r="J21" s="1"/>
      <c r="M21" s="7"/>
      <c r="N21" s="8"/>
      <c r="O21" s="8"/>
      <c r="P21" s="8"/>
      <c r="Q21" s="18"/>
      <c r="R21" s="24"/>
      <c r="S21" s="30"/>
      <c r="T21" s="25">
        <f>Tabla14628[[#This Row],[TOTAL]]/1.19</f>
        <v>0</v>
      </c>
      <c r="U21" s="27">
        <f>Tabla14628[[#This Row],[NETO]]*2%</f>
        <v>0</v>
      </c>
    </row>
    <row r="22" spans="1:21" x14ac:dyDescent="0.3">
      <c r="A22" s="6"/>
      <c r="B22" s="16"/>
      <c r="F22" s="21"/>
      <c r="G22" s="12"/>
      <c r="I22" s="19"/>
      <c r="J22" s="1"/>
      <c r="M22" s="7"/>
      <c r="N22" s="8"/>
      <c r="O22" s="8"/>
      <c r="P22" s="8"/>
      <c r="Q22" s="18"/>
      <c r="R22" s="24"/>
      <c r="S22" s="30"/>
      <c r="T22" s="25">
        <f>Tabla14628[[#This Row],[TOTAL]]/1.19</f>
        <v>0</v>
      </c>
      <c r="U22" s="27">
        <f>Tabla14628[[#This Row],[NETO]]*2%</f>
        <v>0</v>
      </c>
    </row>
    <row r="23" spans="1:21" x14ac:dyDescent="0.3">
      <c r="A23" s="6"/>
      <c r="B23" s="16"/>
      <c r="F23" s="21"/>
      <c r="G23" s="12"/>
      <c r="I23" s="33"/>
      <c r="J23" s="1"/>
      <c r="L23" s="19"/>
      <c r="M23" s="7"/>
      <c r="N23" s="8"/>
      <c r="O23" s="8"/>
      <c r="P23" s="8"/>
      <c r="Q23" s="18"/>
      <c r="R23" s="24"/>
      <c r="S23" s="30"/>
      <c r="T23" s="25">
        <f>Tabla14628[[#This Row],[TOTAL]]/1.19</f>
        <v>0</v>
      </c>
      <c r="U23" s="27">
        <f>Tabla14628[[#This Row],[NETO]]*2%</f>
        <v>0</v>
      </c>
    </row>
    <row r="24" spans="1:21" x14ac:dyDescent="0.3">
      <c r="A24" s="6"/>
      <c r="B24" s="16"/>
      <c r="F24" s="21"/>
      <c r="G24" s="12"/>
      <c r="I24" s="19"/>
      <c r="J24" s="1"/>
      <c r="M24" s="7"/>
      <c r="N24" s="8"/>
      <c r="O24" s="8"/>
      <c r="P24" s="8"/>
      <c r="Q24" s="18"/>
      <c r="R24" s="24"/>
      <c r="S24" s="30"/>
      <c r="T24" s="25">
        <f>Tabla14628[[#This Row],[TOTAL]]/1.19</f>
        <v>0</v>
      </c>
      <c r="U24" s="27">
        <f>Tabla14628[[#This Row],[NETO]]*2%</f>
        <v>0</v>
      </c>
    </row>
    <row r="25" spans="1:21" x14ac:dyDescent="0.3">
      <c r="A25" s="6"/>
      <c r="B25" s="16"/>
      <c r="C25" s="44"/>
      <c r="F25" s="21"/>
      <c r="G25" s="12"/>
      <c r="I25" s="19"/>
      <c r="J25" s="1"/>
      <c r="M25" s="7"/>
      <c r="N25" s="8"/>
      <c r="O25" s="8"/>
      <c r="P25" s="8"/>
      <c r="Q25" s="18"/>
      <c r="R25" s="24"/>
      <c r="S25" s="30"/>
      <c r="T25" s="25">
        <f>Tabla14628[[#This Row],[TOTAL]]/1.19</f>
        <v>0</v>
      </c>
      <c r="U25" s="27">
        <f>Tabla14628[[#This Row],[NETO]]*2%</f>
        <v>0</v>
      </c>
    </row>
    <row r="26" spans="1:21" x14ac:dyDescent="0.3">
      <c r="A26" s="6"/>
      <c r="B26" s="16"/>
      <c r="F26" s="21"/>
      <c r="G26" s="12"/>
      <c r="I26" s="19"/>
      <c r="J26" s="1"/>
      <c r="L26" s="12"/>
      <c r="M26" s="7"/>
      <c r="N26" s="8"/>
      <c r="O26" s="8"/>
      <c r="P26" s="8"/>
      <c r="Q26" s="18"/>
      <c r="R26" s="24"/>
      <c r="S26" s="30"/>
      <c r="T26" s="25">
        <f>Tabla14628[[#This Row],[TOTAL]]/1.19</f>
        <v>0</v>
      </c>
      <c r="U26" s="27">
        <f>Tabla14628[[#This Row],[NETO]]*2%</f>
        <v>0</v>
      </c>
    </row>
    <row r="27" spans="1:21" x14ac:dyDescent="0.3">
      <c r="A27" s="6"/>
      <c r="B27" s="16"/>
      <c r="F27" s="21"/>
      <c r="G27" s="12"/>
      <c r="I27" s="19"/>
      <c r="J27" s="1"/>
      <c r="M27" s="7"/>
      <c r="N27" s="8"/>
      <c r="O27" s="8"/>
      <c r="P27" s="8"/>
      <c r="Q27" s="18"/>
      <c r="R27" s="24"/>
      <c r="S27" s="30"/>
      <c r="T27" s="25">
        <f>Tabla14628[[#This Row],[TOTAL]]/1.19</f>
        <v>0</v>
      </c>
      <c r="U27" s="27">
        <f>Tabla14628[[#This Row],[NETO]]*2%</f>
        <v>0</v>
      </c>
    </row>
    <row r="28" spans="1:21" x14ac:dyDescent="0.3">
      <c r="A28" s="6"/>
      <c r="B28" s="16"/>
      <c r="F28" s="21"/>
      <c r="G28" s="12"/>
      <c r="I28" s="19"/>
      <c r="J28" s="1"/>
      <c r="M28" s="7"/>
      <c r="N28" s="8"/>
      <c r="O28" s="8"/>
      <c r="P28" s="8"/>
      <c r="Q28" s="18"/>
      <c r="R28" s="24"/>
      <c r="S28" s="30"/>
      <c r="T28" s="25">
        <f>Tabla14628[[#This Row],[TOTAL]]/1.19</f>
        <v>0</v>
      </c>
      <c r="U28" s="27">
        <f>Tabla14628[[#This Row],[NETO]]*2%</f>
        <v>0</v>
      </c>
    </row>
    <row r="29" spans="1:21" x14ac:dyDescent="0.3">
      <c r="A29" s="6"/>
      <c r="B29" s="16"/>
      <c r="F29" s="41"/>
      <c r="G29" s="12"/>
      <c r="I29" s="19"/>
      <c r="J29" s="1"/>
      <c r="M29" s="7"/>
      <c r="N29" s="8"/>
      <c r="O29" s="8"/>
      <c r="P29" s="8"/>
      <c r="Q29" s="18"/>
      <c r="R29" s="24"/>
      <c r="S29" s="30"/>
      <c r="T29" s="25">
        <f>Tabla14628[[#This Row],[TOTAL]]/1.19</f>
        <v>0</v>
      </c>
      <c r="U29" s="27">
        <f>Tabla14628[[#This Row],[NETO]]*2%</f>
        <v>0</v>
      </c>
    </row>
    <row r="30" spans="1:21" x14ac:dyDescent="0.3">
      <c r="A30" s="6"/>
      <c r="B30" s="16"/>
      <c r="F30" s="21"/>
      <c r="G30" s="12"/>
      <c r="I30" s="19"/>
      <c r="J30" s="1"/>
      <c r="M30" s="7"/>
      <c r="N30" s="8"/>
      <c r="O30" s="8"/>
      <c r="P30" s="8"/>
      <c r="Q30" s="18"/>
      <c r="R30" s="24"/>
      <c r="S30" s="30"/>
      <c r="T30" s="25">
        <f>Tabla14628[[#This Row],[TOTAL]]/1.19</f>
        <v>0</v>
      </c>
      <c r="U30" s="27">
        <f>Tabla14628[[#This Row],[NETO]]*2%</f>
        <v>0</v>
      </c>
    </row>
    <row r="31" spans="1:21" x14ac:dyDescent="0.3">
      <c r="A31" s="6"/>
      <c r="B31" s="16"/>
      <c r="F31" s="21"/>
      <c r="G31" s="12"/>
      <c r="I31" s="19"/>
      <c r="J31" s="1"/>
      <c r="M31" s="7"/>
      <c r="N31" s="8"/>
      <c r="O31" s="8"/>
      <c r="P31" s="8"/>
      <c r="Q31" s="18"/>
      <c r="R31" s="24"/>
      <c r="S31" s="30"/>
      <c r="T31" s="25">
        <f>Tabla14628[[#This Row],[TOTAL]]/1.19</f>
        <v>0</v>
      </c>
      <c r="U31" s="27">
        <f>Tabla14628[[#This Row],[NETO]]*2%</f>
        <v>0</v>
      </c>
    </row>
    <row r="32" spans="1:21" x14ac:dyDescent="0.3">
      <c r="A32" s="6"/>
      <c r="B32" s="16"/>
      <c r="F32" s="21"/>
      <c r="G32" s="12"/>
      <c r="H32" s="49"/>
      <c r="I32" s="19"/>
      <c r="J32" s="1"/>
      <c r="M32" s="7"/>
      <c r="N32" s="8"/>
      <c r="O32" s="8"/>
      <c r="P32" s="8"/>
      <c r="Q32" s="18"/>
      <c r="R32" s="24"/>
      <c r="S32" s="30"/>
      <c r="T32" s="25">
        <f>Tabla14628[[#This Row],[TOTAL]]/1.19</f>
        <v>0</v>
      </c>
      <c r="U32" s="27">
        <f>Tabla14628[[#This Row],[NETO]]*2%</f>
        <v>0</v>
      </c>
    </row>
    <row r="33" spans="1:21" x14ac:dyDescent="0.3">
      <c r="A33" s="6"/>
      <c r="B33" s="16"/>
      <c r="F33" s="21"/>
      <c r="G33" s="12"/>
      <c r="I33" s="19"/>
      <c r="J33" s="1"/>
      <c r="M33" s="7"/>
      <c r="N33" s="8"/>
      <c r="O33" s="8"/>
      <c r="P33" s="8"/>
      <c r="Q33" s="18"/>
      <c r="R33" s="24"/>
      <c r="S33" s="30"/>
      <c r="T33" s="25">
        <f>Tabla14628[[#This Row],[TOTAL]]/1.19</f>
        <v>0</v>
      </c>
      <c r="U33" s="27">
        <f>Tabla14628[[#This Row],[NETO]]*2%</f>
        <v>0</v>
      </c>
    </row>
    <row r="34" spans="1:21" x14ac:dyDescent="0.3">
      <c r="A34" s="6"/>
      <c r="B34" s="16"/>
      <c r="F34" s="21"/>
      <c r="G34" s="12"/>
      <c r="I34" s="19"/>
      <c r="J34" s="1"/>
      <c r="M34" s="7"/>
      <c r="N34" s="8"/>
      <c r="O34" s="8"/>
      <c r="P34" s="8"/>
      <c r="Q34" s="18"/>
      <c r="R34" s="24"/>
      <c r="S34" s="30"/>
      <c r="T34" s="25">
        <f>Tabla14628[[#This Row],[TOTAL]]/1.19</f>
        <v>0</v>
      </c>
      <c r="U34" s="27">
        <f>Tabla14628[[#This Row],[NETO]]*2%</f>
        <v>0</v>
      </c>
    </row>
    <row r="35" spans="1:21" x14ac:dyDescent="0.3">
      <c r="A35" s="6"/>
      <c r="B35" s="16"/>
      <c r="F35" s="21"/>
      <c r="G35" s="12"/>
      <c r="I35" s="19"/>
      <c r="J35" s="1"/>
      <c r="M35" s="7"/>
      <c r="N35" s="8"/>
      <c r="O35" s="8"/>
      <c r="P35" s="8"/>
      <c r="Q35" s="18"/>
      <c r="R35" s="24"/>
      <c r="S35" s="30"/>
      <c r="T35" s="25">
        <f>Tabla14628[[#This Row],[TOTAL]]/1.19</f>
        <v>0</v>
      </c>
      <c r="U35" s="27">
        <f>Tabla14628[[#This Row],[NETO]]*2%</f>
        <v>0</v>
      </c>
    </row>
    <row r="36" spans="1:21" x14ac:dyDescent="0.3">
      <c r="A36" s="6"/>
      <c r="B36" s="16"/>
      <c r="F36" s="21"/>
      <c r="G36" s="12"/>
      <c r="I36" s="19"/>
      <c r="J36" s="1"/>
      <c r="M36" s="7"/>
      <c r="N36" s="8"/>
      <c r="O36" s="8"/>
      <c r="P36" s="8"/>
      <c r="Q36" s="18"/>
      <c r="R36" s="24"/>
      <c r="S36" s="30"/>
      <c r="T36" s="25">
        <f>Tabla14628[[#This Row],[TOTAL]]/1.19</f>
        <v>0</v>
      </c>
      <c r="U36" s="27">
        <f>Tabla14628[[#This Row],[NETO]]*2%</f>
        <v>0</v>
      </c>
    </row>
    <row r="37" spans="1:21" x14ac:dyDescent="0.3">
      <c r="A37" s="6"/>
      <c r="B37" s="16"/>
      <c r="F37" s="21"/>
      <c r="G37" s="12"/>
      <c r="I37" s="19"/>
      <c r="J37" s="1"/>
      <c r="M37" s="7"/>
      <c r="N37" s="8"/>
      <c r="O37" s="8"/>
      <c r="P37" s="8"/>
      <c r="Q37" s="18"/>
      <c r="R37" s="24"/>
      <c r="S37" s="30"/>
      <c r="T37" s="25">
        <f>Tabla14628[[#This Row],[TOTAL]]/1.19</f>
        <v>0</v>
      </c>
      <c r="U37" s="27">
        <f>Tabla14628[[#This Row],[NETO]]*2%</f>
        <v>0</v>
      </c>
    </row>
    <row r="38" spans="1:21" x14ac:dyDescent="0.3">
      <c r="A38" s="6"/>
      <c r="B38" s="16"/>
      <c r="F38" s="21"/>
      <c r="G38" s="12"/>
      <c r="I38" s="19"/>
      <c r="J38" s="1"/>
      <c r="M38" s="7"/>
      <c r="N38" s="8"/>
      <c r="O38" s="8"/>
      <c r="P38" s="8"/>
      <c r="Q38" s="18"/>
      <c r="R38" s="24"/>
      <c r="S38" s="30"/>
      <c r="T38" s="25">
        <f>Tabla14628[[#This Row],[TOTAL]]/1.19</f>
        <v>0</v>
      </c>
      <c r="U38" s="27">
        <f>Tabla14628[[#This Row],[NETO]]*2%</f>
        <v>0</v>
      </c>
    </row>
    <row r="39" spans="1:21" x14ac:dyDescent="0.3">
      <c r="A39" s="6"/>
      <c r="B39" s="16"/>
      <c r="F39" s="21"/>
      <c r="G39" s="12"/>
      <c r="I39" s="19"/>
      <c r="J39" s="1"/>
      <c r="M39" s="7"/>
      <c r="N39" s="8"/>
      <c r="O39" s="8"/>
      <c r="P39" s="8"/>
      <c r="Q39" s="18"/>
      <c r="R39" s="24"/>
      <c r="S39" s="30"/>
      <c r="T39" s="25">
        <f>Tabla14628[[#This Row],[TOTAL]]/1.19</f>
        <v>0</v>
      </c>
      <c r="U39" s="27">
        <f>Tabla14628[[#This Row],[NETO]]*2%</f>
        <v>0</v>
      </c>
    </row>
    <row r="40" spans="1:21" x14ac:dyDescent="0.3">
      <c r="A40" s="6"/>
      <c r="B40" s="16"/>
      <c r="F40" s="21"/>
      <c r="G40" s="12"/>
      <c r="I40" s="19"/>
      <c r="J40" s="1"/>
      <c r="M40" s="7"/>
      <c r="N40" s="8"/>
      <c r="O40" s="8"/>
      <c r="P40" s="8"/>
      <c r="Q40" s="18"/>
      <c r="R40" s="24"/>
      <c r="S40" s="30"/>
      <c r="T40" s="25">
        <f>Tabla14628[[#This Row],[TOTAL]]/1.19</f>
        <v>0</v>
      </c>
      <c r="U40" s="27">
        <f>Tabla14628[[#This Row],[NETO]]*2%</f>
        <v>0</v>
      </c>
    </row>
    <row r="41" spans="1:21" x14ac:dyDescent="0.3">
      <c r="A41" s="6"/>
      <c r="B41" s="16"/>
      <c r="F41" s="21"/>
      <c r="G41" s="12"/>
      <c r="I41" s="19"/>
      <c r="J41" s="1"/>
      <c r="M41" s="7"/>
      <c r="N41" s="8"/>
      <c r="O41" s="8"/>
      <c r="P41" s="8"/>
      <c r="Q41" s="18"/>
      <c r="R41" s="24"/>
      <c r="S41" s="30"/>
      <c r="T41" s="25">
        <f>Tabla14628[[#This Row],[TOTAL]]/1.19</f>
        <v>0</v>
      </c>
      <c r="U41" s="27">
        <f>Tabla14628[[#This Row],[NETO]]*2%</f>
        <v>0</v>
      </c>
    </row>
    <row r="42" spans="1:21" x14ac:dyDescent="0.3">
      <c r="A42" s="6"/>
      <c r="B42" s="16"/>
      <c r="F42" s="21"/>
      <c r="G42" s="12"/>
      <c r="I42" s="19"/>
      <c r="J42" s="1"/>
      <c r="M42" s="7"/>
      <c r="N42" s="8"/>
      <c r="O42" s="8"/>
      <c r="P42" s="8"/>
      <c r="Q42" s="18"/>
      <c r="R42" s="24"/>
      <c r="S42" s="30"/>
      <c r="T42" s="25">
        <f>Tabla14628[[#This Row],[TOTAL]]/1.19</f>
        <v>0</v>
      </c>
      <c r="U42" s="27">
        <f>Tabla14628[[#This Row],[NETO]]*2%</f>
        <v>0</v>
      </c>
    </row>
    <row r="43" spans="1:21" x14ac:dyDescent="0.3">
      <c r="A43" s="6"/>
      <c r="B43" s="16"/>
      <c r="F43" s="21"/>
      <c r="G43" s="12"/>
      <c r="I43" s="19"/>
      <c r="J43" s="1"/>
      <c r="M43" s="7"/>
      <c r="N43" s="8"/>
      <c r="O43" s="8"/>
      <c r="P43" s="8"/>
      <c r="Q43" s="18"/>
      <c r="R43" s="24"/>
      <c r="S43" s="30"/>
      <c r="T43" s="25">
        <f>Tabla14628[[#This Row],[TOTAL]]/1.19</f>
        <v>0</v>
      </c>
      <c r="U43" s="27">
        <f>Tabla14628[[#This Row],[NETO]]*2%</f>
        <v>0</v>
      </c>
    </row>
    <row r="44" spans="1:21" x14ac:dyDescent="0.3">
      <c r="A44" s="6"/>
      <c r="B44" s="16"/>
      <c r="F44" s="34"/>
      <c r="G44" s="12"/>
      <c r="I44" s="19"/>
      <c r="J44" s="1"/>
      <c r="M44" s="7"/>
      <c r="N44" s="8"/>
      <c r="O44" s="8"/>
      <c r="P44" s="8"/>
      <c r="Q44" s="18"/>
      <c r="R44" s="24"/>
      <c r="S44" s="30"/>
      <c r="T44" s="25">
        <f>Tabla14628[[#This Row],[TOTAL]]/1.19</f>
        <v>0</v>
      </c>
      <c r="U44" s="27">
        <f>Tabla14628[[#This Row],[NETO]]*2%</f>
        <v>0</v>
      </c>
    </row>
    <row r="45" spans="1:21" x14ac:dyDescent="0.3">
      <c r="A45" s="6"/>
      <c r="B45" s="16"/>
      <c r="F45" s="21"/>
      <c r="G45" s="12"/>
      <c r="I45" s="19"/>
      <c r="J45" s="1"/>
      <c r="M45" s="7"/>
      <c r="N45" s="8"/>
      <c r="O45" s="8"/>
      <c r="P45" s="8"/>
      <c r="Q45" s="18"/>
      <c r="R45" s="24"/>
      <c r="S45" s="30"/>
      <c r="T45" s="25">
        <f>Tabla14628[[#This Row],[TOTAL]]/1.19</f>
        <v>0</v>
      </c>
      <c r="U45" s="27">
        <f>Tabla14628[[#This Row],[NETO]]*2%</f>
        <v>0</v>
      </c>
    </row>
    <row r="46" spans="1:21" x14ac:dyDescent="0.3">
      <c r="A46" s="6"/>
      <c r="B46" s="16"/>
      <c r="F46" s="21"/>
      <c r="G46" s="12"/>
      <c r="I46" s="19"/>
      <c r="J46" s="1"/>
      <c r="M46" s="7"/>
      <c r="N46" s="8"/>
      <c r="O46" s="8"/>
      <c r="P46" s="8"/>
      <c r="Q46" s="18"/>
      <c r="R46" s="24"/>
      <c r="S46" s="30"/>
      <c r="T46" s="25">
        <f>Tabla14628[[#This Row],[TOTAL]]/1.19</f>
        <v>0</v>
      </c>
      <c r="U46" s="27">
        <f>Tabla14628[[#This Row],[NETO]]*2%</f>
        <v>0</v>
      </c>
    </row>
    <row r="47" spans="1:21" x14ac:dyDescent="0.3">
      <c r="A47" s="6"/>
      <c r="B47" s="16"/>
      <c r="F47" s="21"/>
      <c r="G47" s="12"/>
      <c r="I47" s="19"/>
      <c r="J47" s="1"/>
      <c r="M47" s="7"/>
      <c r="N47" s="8"/>
      <c r="O47" s="8"/>
      <c r="P47" s="8"/>
      <c r="Q47" s="18"/>
      <c r="R47" s="24"/>
      <c r="S47" s="30"/>
      <c r="T47" s="25">
        <f>Tabla14628[[#This Row],[TOTAL]]/1.19</f>
        <v>0</v>
      </c>
      <c r="U47" s="27">
        <f>Tabla14628[[#This Row],[NETO]]*2%</f>
        <v>0</v>
      </c>
    </row>
    <row r="48" spans="1:21" x14ac:dyDescent="0.3">
      <c r="A48" s="6"/>
      <c r="B48" s="16"/>
      <c r="F48" s="21"/>
      <c r="G48" s="12"/>
      <c r="I48" s="19"/>
      <c r="J48" s="1"/>
      <c r="M48" s="7"/>
      <c r="N48" s="8"/>
      <c r="O48" s="8"/>
      <c r="P48" s="8"/>
      <c r="Q48" s="18"/>
      <c r="R48" s="24"/>
      <c r="S48" s="30"/>
      <c r="T48" s="25">
        <f>S48/1.19</f>
        <v>0</v>
      </c>
      <c r="U48" s="27">
        <f>Tabla14628[[#This Row],[NETO]]*2%</f>
        <v>0</v>
      </c>
    </row>
    <row r="49" spans="1:25" x14ac:dyDescent="0.3">
      <c r="A49" s="6"/>
      <c r="B49" s="16"/>
      <c r="F49" s="21"/>
      <c r="G49" s="12"/>
      <c r="I49" s="19"/>
      <c r="J49" s="1"/>
      <c r="M49" s="7"/>
      <c r="N49" s="8"/>
      <c r="O49" s="8"/>
      <c r="P49" s="8"/>
      <c r="Q49" s="18"/>
      <c r="R49" s="24"/>
      <c r="S49" s="30"/>
      <c r="T49" s="25">
        <f>S49/1.19</f>
        <v>0</v>
      </c>
      <c r="U49" s="27">
        <f>Tabla14628[[#This Row],[NETO]]*2%</f>
        <v>0</v>
      </c>
    </row>
    <row r="50" spans="1:25" x14ac:dyDescent="0.3">
      <c r="A50" s="6"/>
      <c r="B50" s="16"/>
      <c r="F50" s="21"/>
      <c r="G50" s="12"/>
      <c r="I50" s="19"/>
      <c r="J50" s="1"/>
      <c r="M50" s="7"/>
      <c r="N50" s="8"/>
      <c r="O50" s="8"/>
      <c r="P50" s="8"/>
      <c r="Q50" s="18"/>
      <c r="R50" s="24"/>
      <c r="S50" s="30"/>
      <c r="T50" s="25">
        <f>S50/1.19</f>
        <v>0</v>
      </c>
      <c r="U50" s="27">
        <f>Tabla14628[[#This Row],[NETO]]*2%</f>
        <v>0</v>
      </c>
      <c r="X50" s="127"/>
      <c r="Y50" s="127"/>
    </row>
    <row r="51" spans="1:25" x14ac:dyDescent="0.3">
      <c r="A51" s="6"/>
      <c r="B51" s="16"/>
      <c r="F51" s="21"/>
      <c r="G51" s="12"/>
      <c r="I51" s="19"/>
      <c r="J51" s="1"/>
      <c r="M51" s="7"/>
      <c r="N51" s="8"/>
      <c r="O51" s="8"/>
      <c r="P51" s="8"/>
      <c r="Q51" s="18"/>
      <c r="R51" s="24"/>
      <c r="S51" s="30"/>
      <c r="T51" s="25">
        <f>S51/1.19</f>
        <v>0</v>
      </c>
      <c r="U51" s="27">
        <f>Tabla14628[[#This Row],[NETO]]*2%</f>
        <v>0</v>
      </c>
      <c r="X51" s="51"/>
      <c r="Y51" s="50"/>
    </row>
    <row r="52" spans="1:25" x14ac:dyDescent="0.3">
      <c r="A52" s="6"/>
      <c r="B52" s="16"/>
      <c r="F52" s="21"/>
      <c r="G52" s="12"/>
      <c r="H52" s="49"/>
      <c r="I52" s="19"/>
      <c r="J52" s="1"/>
      <c r="M52" s="7"/>
      <c r="N52" s="8"/>
      <c r="O52" s="8"/>
      <c r="P52" s="8"/>
      <c r="Q52" s="18"/>
      <c r="R52" s="24"/>
      <c r="S52" s="30"/>
      <c r="T52" s="25">
        <f>S52/1.19</f>
        <v>0</v>
      </c>
      <c r="U52" s="27">
        <f>Tabla14628[[#This Row],[NETO]]*2%</f>
        <v>0</v>
      </c>
      <c r="X52" s="51"/>
      <c r="Y52" s="50"/>
    </row>
    <row r="53" spans="1:25" ht="15" thickBot="1" x14ac:dyDescent="0.35">
      <c r="A53" s="5" t="s">
        <v>18</v>
      </c>
      <c r="B53" s="17">
        <f>COUNT(B3:B52)</f>
        <v>0</v>
      </c>
      <c r="C53" s="4"/>
      <c r="D53" s="4"/>
      <c r="E53" s="4"/>
      <c r="F53" s="22"/>
      <c r="G53" s="13"/>
      <c r="H53" s="14"/>
      <c r="I53" s="20"/>
      <c r="J53" s="23"/>
      <c r="K53" s="14"/>
      <c r="L53" s="14"/>
      <c r="M53" s="9"/>
      <c r="N53" s="10"/>
      <c r="O53" s="10"/>
      <c r="P53" s="10"/>
      <c r="Q53" s="11"/>
      <c r="R53" s="31"/>
      <c r="S53" s="32">
        <f>SUM(S3:S52)</f>
        <v>0</v>
      </c>
      <c r="T53" s="32">
        <f>SUM(T3:T52)</f>
        <v>0</v>
      </c>
      <c r="U53" s="32">
        <f>Tabla14628[[#This Row],[NETO]]*2%</f>
        <v>0</v>
      </c>
      <c r="X53" s="51"/>
      <c r="Y53" s="50"/>
    </row>
    <row r="55" spans="1:25" x14ac:dyDescent="0.3">
      <c r="T55" s="40"/>
      <c r="U55" s="39"/>
    </row>
    <row r="56" spans="1:25" x14ac:dyDescent="0.3">
      <c r="T56" s="40"/>
      <c r="U56" s="39"/>
      <c r="V56" s="39"/>
    </row>
  </sheetData>
  <mergeCells count="5">
    <mergeCell ref="G1:L1"/>
    <mergeCell ref="M1:Q1"/>
    <mergeCell ref="R1:U1"/>
    <mergeCell ref="C1:F1"/>
    <mergeCell ref="X50:Y50"/>
  </mergeCells>
  <phoneticPr fontId="7" type="noConversion"/>
  <pageMargins left="0.7" right="0.7" top="0.75" bottom="0.75" header="0.3" footer="0.3"/>
  <pageSetup paperSize="9" orientation="portrait" r:id="rId1"/>
  <ignoredErrors>
    <ignoredError sqref="T53" calculatedColumn="1"/>
  </ignoredErrors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58F7-313E-4CAF-B2F0-CAE07956F748}">
  <dimension ref="A1:Z56"/>
  <sheetViews>
    <sheetView zoomScale="64" zoomScaleNormal="64" workbookViewId="0">
      <selection activeCell="M25" sqref="M25"/>
    </sheetView>
  </sheetViews>
  <sheetFormatPr baseColWidth="10" defaultRowHeight="14.4" x14ac:dyDescent="0.3"/>
  <cols>
    <col min="3" max="3" width="20.5546875" bestFit="1" customWidth="1"/>
    <col min="5" max="5" width="12" bestFit="1" customWidth="1"/>
    <col min="13" max="13" width="8.109375" customWidth="1"/>
    <col min="14" max="14" width="7.5546875" customWidth="1"/>
    <col min="15" max="15" width="6.6640625" customWidth="1"/>
    <col min="16" max="16" width="7.88671875" customWidth="1"/>
    <col min="19" max="19" width="15.109375" customWidth="1"/>
    <col min="20" max="20" width="16.33203125" customWidth="1"/>
    <col min="24" max="24" width="12" style="1" customWidth="1"/>
    <col min="25" max="25" width="12" customWidth="1"/>
    <col min="26" max="26" width="12" style="3" customWidth="1"/>
  </cols>
  <sheetData>
    <row r="1" spans="1:26" ht="18" x14ac:dyDescent="0.35">
      <c r="A1" s="2"/>
      <c r="B1" s="15"/>
      <c r="C1" s="131" t="s">
        <v>1</v>
      </c>
      <c r="D1" s="132"/>
      <c r="E1" s="132"/>
      <c r="F1" s="133"/>
      <c r="G1" s="121" t="s">
        <v>6</v>
      </c>
      <c r="H1" s="122"/>
      <c r="I1" s="122"/>
      <c r="J1" s="122"/>
      <c r="K1" s="123"/>
      <c r="L1" s="123"/>
      <c r="M1" s="121" t="s">
        <v>13</v>
      </c>
      <c r="N1" s="122"/>
      <c r="O1" s="122"/>
      <c r="P1" s="122"/>
      <c r="Q1" s="124"/>
      <c r="R1" s="125" t="s">
        <v>24</v>
      </c>
      <c r="S1" s="126"/>
      <c r="T1" s="126"/>
      <c r="U1" s="126"/>
      <c r="X1" s="1" t="s">
        <v>22</v>
      </c>
      <c r="Y1" t="s">
        <v>25</v>
      </c>
      <c r="Z1" s="3" t="s">
        <v>19</v>
      </c>
    </row>
    <row r="2" spans="1:26" x14ac:dyDescent="0.3">
      <c r="A2" s="2" t="s">
        <v>0</v>
      </c>
      <c r="B2" s="16" t="s">
        <v>22</v>
      </c>
      <c r="C2" t="s">
        <v>3</v>
      </c>
      <c r="D2" t="s">
        <v>2</v>
      </c>
      <c r="E2" t="s">
        <v>4</v>
      </c>
      <c r="F2" t="s">
        <v>5</v>
      </c>
      <c r="G2" s="12" t="s">
        <v>7</v>
      </c>
      <c r="H2" t="s">
        <v>8</v>
      </c>
      <c r="I2" s="19" t="s">
        <v>10</v>
      </c>
      <c r="J2" s="1" t="s">
        <v>9</v>
      </c>
      <c r="K2" t="s">
        <v>11</v>
      </c>
      <c r="L2" t="s">
        <v>12</v>
      </c>
      <c r="M2" s="7" t="s">
        <v>14</v>
      </c>
      <c r="N2" s="8" t="s">
        <v>15</v>
      </c>
      <c r="O2" s="8" t="s">
        <v>16</v>
      </c>
      <c r="P2" s="8" t="s">
        <v>17</v>
      </c>
      <c r="Q2" s="18" t="s">
        <v>21</v>
      </c>
      <c r="R2" s="24" t="s">
        <v>23</v>
      </c>
      <c r="S2" s="29" t="s">
        <v>18</v>
      </c>
      <c r="T2" s="26" t="s">
        <v>20</v>
      </c>
      <c r="U2" s="28" t="s">
        <v>19</v>
      </c>
    </row>
    <row r="3" spans="1:26" x14ac:dyDescent="0.3">
      <c r="A3" s="6"/>
      <c r="B3" s="16"/>
      <c r="F3" s="21"/>
      <c r="G3" s="12"/>
      <c r="I3" s="36"/>
      <c r="J3" s="1"/>
      <c r="M3" s="7"/>
      <c r="N3" s="8"/>
      <c r="O3" s="8"/>
      <c r="P3" s="8"/>
      <c r="Q3" s="18"/>
      <c r="R3" s="24"/>
      <c r="S3" s="29"/>
      <c r="T3" s="25">
        <f>Tabla1462827[[#This Row],[TOTAL]]/1.19</f>
        <v>0</v>
      </c>
      <c r="U3" s="27">
        <f>Tabla1462827[[#This Row],[NETO]]*2%</f>
        <v>0</v>
      </c>
    </row>
    <row r="4" spans="1:26" x14ac:dyDescent="0.3">
      <c r="A4" s="6"/>
      <c r="B4" s="16"/>
      <c r="F4" s="34"/>
      <c r="G4" s="12"/>
      <c r="I4" s="36"/>
      <c r="J4" s="1"/>
      <c r="M4" s="7"/>
      <c r="N4" s="8"/>
      <c r="O4" s="8"/>
      <c r="P4" s="8"/>
      <c r="Q4" s="18"/>
      <c r="R4" s="24"/>
      <c r="S4" s="29"/>
      <c r="T4" s="25">
        <f>Tabla1462827[[#This Row],[TOTAL]]/1.19</f>
        <v>0</v>
      </c>
      <c r="U4" s="27">
        <f>Tabla1462827[[#This Row],[NETO]]*2%</f>
        <v>0</v>
      </c>
    </row>
    <row r="5" spans="1:26" x14ac:dyDescent="0.3">
      <c r="A5" s="6"/>
      <c r="B5" s="16"/>
      <c r="F5" s="21"/>
      <c r="G5" s="12"/>
      <c r="I5" s="36"/>
      <c r="J5" s="1"/>
      <c r="M5" s="7"/>
      <c r="N5" s="8"/>
      <c r="O5" s="8"/>
      <c r="P5" s="8"/>
      <c r="Q5" s="18"/>
      <c r="R5" s="24"/>
      <c r="S5" s="29"/>
      <c r="T5" s="25">
        <f>Tabla1462827[[#This Row],[TOTAL]]/1.19</f>
        <v>0</v>
      </c>
      <c r="U5" s="27">
        <f>Tabla1462827[[#This Row],[NETO]]*2%</f>
        <v>0</v>
      </c>
    </row>
    <row r="6" spans="1:26" x14ac:dyDescent="0.3">
      <c r="A6" s="6"/>
      <c r="B6" s="16"/>
      <c r="F6" s="21"/>
      <c r="G6" s="12"/>
      <c r="I6" s="36"/>
      <c r="J6" s="1"/>
      <c r="M6" s="7"/>
      <c r="N6" s="8"/>
      <c r="O6" s="8"/>
      <c r="P6" s="8"/>
      <c r="Q6" s="18"/>
      <c r="R6" s="24"/>
      <c r="S6" s="29"/>
      <c r="T6" s="25">
        <f>Tabla1462827[[#This Row],[TOTAL]]/1.19</f>
        <v>0</v>
      </c>
      <c r="U6" s="27">
        <f>Tabla1462827[[#This Row],[NETO]]*2%</f>
        <v>0</v>
      </c>
    </row>
    <row r="7" spans="1:26" x14ac:dyDescent="0.3">
      <c r="A7" s="6"/>
      <c r="B7" s="16"/>
      <c r="F7" s="34"/>
      <c r="G7" s="12"/>
      <c r="I7" s="36"/>
      <c r="J7" s="1"/>
      <c r="M7" s="7"/>
      <c r="N7" s="8"/>
      <c r="O7" s="8"/>
      <c r="P7" s="8"/>
      <c r="Q7" s="18"/>
      <c r="R7" s="24"/>
      <c r="S7" s="29"/>
      <c r="T7" s="25">
        <f>Tabla1462827[[#This Row],[TOTAL]]/1.19</f>
        <v>0</v>
      </c>
      <c r="U7" s="27">
        <f>Tabla1462827[[#This Row],[NETO]]*2%</f>
        <v>0</v>
      </c>
    </row>
    <row r="8" spans="1:26" x14ac:dyDescent="0.3">
      <c r="A8" s="6"/>
      <c r="B8" s="16"/>
      <c r="F8" s="21"/>
      <c r="G8" s="12"/>
      <c r="I8" s="36"/>
      <c r="J8" s="1"/>
      <c r="M8" s="7"/>
      <c r="N8" s="8"/>
      <c r="O8" s="8"/>
      <c r="P8" s="8"/>
      <c r="Q8" s="18"/>
      <c r="R8" s="24"/>
      <c r="S8" s="29"/>
      <c r="T8" s="25">
        <f>Tabla1462827[[#This Row],[TOTAL]]/1.19</f>
        <v>0</v>
      </c>
      <c r="U8" s="27">
        <f>Tabla1462827[[#This Row],[NETO]]*2%</f>
        <v>0</v>
      </c>
    </row>
    <row r="9" spans="1:26" x14ac:dyDescent="0.3">
      <c r="A9" s="6"/>
      <c r="B9" s="16"/>
      <c r="F9" s="21"/>
      <c r="G9" s="12"/>
      <c r="I9" s="36"/>
      <c r="J9" s="1"/>
      <c r="M9" s="7"/>
      <c r="N9" s="8"/>
      <c r="O9" s="8"/>
      <c r="P9" s="8"/>
      <c r="Q9" s="18"/>
      <c r="R9" s="24"/>
      <c r="S9" s="29"/>
      <c r="T9" s="25">
        <f>Tabla1462827[[#This Row],[TOTAL]]/1.19</f>
        <v>0</v>
      </c>
      <c r="U9" s="27">
        <f>Tabla1462827[[#This Row],[NETO]]*2%</f>
        <v>0</v>
      </c>
    </row>
    <row r="10" spans="1:26" x14ac:dyDescent="0.3">
      <c r="A10" s="6"/>
      <c r="B10" s="16"/>
      <c r="F10" s="34"/>
      <c r="G10" s="12"/>
      <c r="I10" s="36"/>
      <c r="J10" s="1"/>
      <c r="M10" s="7"/>
      <c r="N10" s="8"/>
      <c r="O10" s="8"/>
      <c r="P10" s="8"/>
      <c r="Q10" s="18"/>
      <c r="R10" s="24"/>
      <c r="S10" s="29"/>
      <c r="T10" s="25">
        <f>Tabla1462827[[#This Row],[TOTAL]]/1.19</f>
        <v>0</v>
      </c>
      <c r="U10" s="27">
        <f>Tabla1462827[[#This Row],[NETO]]*2%</f>
        <v>0</v>
      </c>
    </row>
    <row r="11" spans="1:26" x14ac:dyDescent="0.3">
      <c r="A11" s="6"/>
      <c r="B11" s="16"/>
      <c r="F11" s="21"/>
      <c r="G11" s="12"/>
      <c r="I11" s="36"/>
      <c r="J11" s="1"/>
      <c r="M11" s="7"/>
      <c r="N11" s="8"/>
      <c r="O11" s="8"/>
      <c r="P11" s="8"/>
      <c r="Q11" s="18"/>
      <c r="R11" s="24"/>
      <c r="S11" s="29"/>
      <c r="T11" s="25">
        <f>Tabla1462827[[#This Row],[TOTAL]]/1.19</f>
        <v>0</v>
      </c>
      <c r="U11" s="27">
        <f>Tabla1462827[[#This Row],[NETO]]*2%</f>
        <v>0</v>
      </c>
    </row>
    <row r="12" spans="1:26" x14ac:dyDescent="0.3">
      <c r="A12" s="6"/>
      <c r="B12" s="16"/>
      <c r="F12" s="34"/>
      <c r="G12" s="12"/>
      <c r="H12" s="12"/>
      <c r="I12" s="37"/>
      <c r="J12" s="38"/>
      <c r="M12" s="7"/>
      <c r="N12" s="8"/>
      <c r="O12" s="8"/>
      <c r="P12" s="8"/>
      <c r="Q12" s="18"/>
      <c r="R12" s="24"/>
      <c r="S12" s="29"/>
      <c r="T12" s="25">
        <f>Tabla1462827[[#This Row],[TOTAL]]/1.19</f>
        <v>0</v>
      </c>
      <c r="U12" s="27">
        <f>Tabla1462827[[#This Row],[NETO]]*2%</f>
        <v>0</v>
      </c>
    </row>
    <row r="13" spans="1:26" x14ac:dyDescent="0.3">
      <c r="A13" s="6"/>
      <c r="B13" s="16"/>
      <c r="F13" s="21"/>
      <c r="G13" s="12"/>
      <c r="I13" s="36"/>
      <c r="J13" s="1"/>
      <c r="M13" s="7"/>
      <c r="N13" s="8"/>
      <c r="O13" s="8"/>
      <c r="P13" s="8"/>
      <c r="Q13" s="18"/>
      <c r="R13" s="24"/>
      <c r="S13" s="29"/>
      <c r="T13" s="25">
        <f>Tabla1462827[[#This Row],[TOTAL]]/1.19</f>
        <v>0</v>
      </c>
      <c r="U13" s="27">
        <f>Tabla1462827[[#This Row],[NETO]]*2%</f>
        <v>0</v>
      </c>
    </row>
    <row r="14" spans="1:26" x14ac:dyDescent="0.3">
      <c r="A14" s="6"/>
      <c r="B14" s="16"/>
      <c r="F14" s="34"/>
      <c r="G14" s="12"/>
      <c r="I14" s="36"/>
      <c r="J14" s="1"/>
      <c r="M14" s="7"/>
      <c r="N14" s="8"/>
      <c r="O14" s="8"/>
      <c r="P14" s="8"/>
      <c r="Q14" s="18"/>
      <c r="R14" s="24"/>
      <c r="S14" s="29"/>
      <c r="T14" s="25">
        <f>Tabla1462827[[#This Row],[TOTAL]]/1.19</f>
        <v>0</v>
      </c>
      <c r="U14" s="27">
        <f>Tabla1462827[[#This Row],[NETO]]*2%</f>
        <v>0</v>
      </c>
    </row>
    <row r="15" spans="1:26" x14ac:dyDescent="0.3">
      <c r="A15" s="6"/>
      <c r="B15" s="16"/>
      <c r="F15" s="34"/>
      <c r="G15" s="12"/>
      <c r="I15" s="36"/>
      <c r="J15" s="1"/>
      <c r="M15" s="7"/>
      <c r="N15" s="8"/>
      <c r="O15" s="8"/>
      <c r="P15" s="8"/>
      <c r="Q15" s="18"/>
      <c r="R15" s="24"/>
      <c r="S15" s="30"/>
      <c r="T15" s="25">
        <f>Tabla1462827[[#This Row],[TOTAL]]/1.19</f>
        <v>0</v>
      </c>
      <c r="U15" s="27">
        <f>Tabla1462827[[#This Row],[NETO]]*2%</f>
        <v>0</v>
      </c>
    </row>
    <row r="16" spans="1:26" x14ac:dyDescent="0.3">
      <c r="A16" s="6"/>
      <c r="B16" s="16"/>
      <c r="F16" s="34"/>
      <c r="G16" s="12"/>
      <c r="H16" s="12"/>
      <c r="I16" s="37"/>
      <c r="J16" s="36"/>
      <c r="M16" s="7"/>
      <c r="N16" s="8"/>
      <c r="O16" s="8"/>
      <c r="P16" s="8"/>
      <c r="Q16" s="18"/>
      <c r="R16" s="24"/>
      <c r="S16" s="30"/>
      <c r="T16" s="25">
        <f>Tabla1462827[[#This Row],[TOTAL]]/1.19</f>
        <v>0</v>
      </c>
      <c r="U16" s="27">
        <f>Tabla1462827[[#This Row],[NETO]]*2%</f>
        <v>0</v>
      </c>
    </row>
    <row r="17" spans="1:21" x14ac:dyDescent="0.3">
      <c r="A17" s="6"/>
      <c r="B17" s="16"/>
      <c r="F17" s="21"/>
      <c r="G17" s="12"/>
      <c r="I17" s="36"/>
      <c r="J17" s="1"/>
      <c r="M17" s="7"/>
      <c r="N17" s="8"/>
      <c r="O17" s="8"/>
      <c r="P17" s="8"/>
      <c r="Q17" s="18"/>
      <c r="R17" s="24"/>
      <c r="S17" s="30"/>
      <c r="T17" s="25">
        <f>Tabla1462827[[#This Row],[TOTAL]]/1.19</f>
        <v>0</v>
      </c>
      <c r="U17" s="27">
        <f>Tabla1462827[[#This Row],[NETO]]*2%</f>
        <v>0</v>
      </c>
    </row>
    <row r="18" spans="1:21" x14ac:dyDescent="0.3">
      <c r="A18" s="6"/>
      <c r="B18" s="16"/>
      <c r="F18" s="34"/>
      <c r="G18" s="12"/>
      <c r="I18" s="36"/>
      <c r="J18" s="1"/>
      <c r="M18" s="7"/>
      <c r="N18" s="8"/>
      <c r="O18" s="8"/>
      <c r="P18" s="8"/>
      <c r="Q18" s="18"/>
      <c r="R18" s="24"/>
      <c r="S18" s="30"/>
      <c r="T18" s="25">
        <f>Tabla1462827[[#This Row],[TOTAL]]/1.19</f>
        <v>0</v>
      </c>
      <c r="U18" s="27">
        <f>Tabla1462827[[#This Row],[NETO]]*2%</f>
        <v>0</v>
      </c>
    </row>
    <row r="19" spans="1:21" x14ac:dyDescent="0.3">
      <c r="A19" s="6"/>
      <c r="B19" s="16"/>
      <c r="F19" s="21"/>
      <c r="G19" s="12"/>
      <c r="I19" s="19"/>
      <c r="J19" s="1"/>
      <c r="M19" s="7"/>
      <c r="N19" s="8"/>
      <c r="O19" s="8"/>
      <c r="P19" s="8"/>
      <c r="Q19" s="18"/>
      <c r="R19" s="24"/>
      <c r="S19" s="30"/>
      <c r="T19" s="25">
        <f>Tabla1462827[[#This Row],[TOTAL]]/1.19</f>
        <v>0</v>
      </c>
      <c r="U19" s="27">
        <f>Tabla1462827[[#This Row],[NETO]]*2%</f>
        <v>0</v>
      </c>
    </row>
    <row r="20" spans="1:21" x14ac:dyDescent="0.3">
      <c r="A20" s="6"/>
      <c r="B20" s="16"/>
      <c r="F20" s="21"/>
      <c r="G20" s="12"/>
      <c r="I20" s="19"/>
      <c r="J20" s="1"/>
      <c r="M20" s="7"/>
      <c r="N20" s="8"/>
      <c r="O20" s="8"/>
      <c r="P20" s="8"/>
      <c r="Q20" s="18"/>
      <c r="R20" s="24"/>
      <c r="S20" s="30"/>
      <c r="T20" s="25">
        <f>Tabla1462827[[#This Row],[TOTAL]]/1.19</f>
        <v>0</v>
      </c>
      <c r="U20" s="27">
        <f>Tabla1462827[[#This Row],[NETO]]*2%</f>
        <v>0</v>
      </c>
    </row>
    <row r="21" spans="1:21" x14ac:dyDescent="0.3">
      <c r="A21" s="6"/>
      <c r="B21" s="16"/>
      <c r="F21" s="21"/>
      <c r="G21" s="12"/>
      <c r="I21" s="19"/>
      <c r="J21" s="1"/>
      <c r="M21" s="7"/>
      <c r="N21" s="8"/>
      <c r="O21" s="8"/>
      <c r="P21" s="8"/>
      <c r="Q21" s="18"/>
      <c r="R21" s="24"/>
      <c r="S21" s="30"/>
      <c r="T21" s="25">
        <f>Tabla1462827[[#This Row],[TOTAL]]/1.19</f>
        <v>0</v>
      </c>
      <c r="U21" s="27">
        <f>Tabla1462827[[#This Row],[NETO]]*2%</f>
        <v>0</v>
      </c>
    </row>
    <row r="22" spans="1:21" x14ac:dyDescent="0.3">
      <c r="A22" s="6"/>
      <c r="B22" s="16"/>
      <c r="F22" s="21"/>
      <c r="G22" s="12"/>
      <c r="I22" s="19"/>
      <c r="J22" s="1"/>
      <c r="M22" s="7"/>
      <c r="N22" s="8"/>
      <c r="O22" s="8"/>
      <c r="P22" s="8"/>
      <c r="Q22" s="18"/>
      <c r="R22" s="24"/>
      <c r="S22" s="30"/>
      <c r="T22" s="25">
        <f>Tabla1462827[[#This Row],[TOTAL]]/1.19</f>
        <v>0</v>
      </c>
      <c r="U22" s="27">
        <f>Tabla1462827[[#This Row],[NETO]]*2%</f>
        <v>0</v>
      </c>
    </row>
    <row r="23" spans="1:21" x14ac:dyDescent="0.3">
      <c r="A23" s="6"/>
      <c r="B23" s="16"/>
      <c r="F23" s="21"/>
      <c r="G23" s="12"/>
      <c r="I23" s="33"/>
      <c r="J23" s="1"/>
      <c r="L23" s="19"/>
      <c r="M23" s="7"/>
      <c r="N23" s="8"/>
      <c r="O23" s="8"/>
      <c r="P23" s="8"/>
      <c r="Q23" s="18"/>
      <c r="R23" s="24"/>
      <c r="S23" s="30"/>
      <c r="T23" s="25">
        <f>Tabla1462827[[#This Row],[TOTAL]]/1.19</f>
        <v>0</v>
      </c>
      <c r="U23" s="27">
        <f>Tabla1462827[[#This Row],[NETO]]*2%</f>
        <v>0</v>
      </c>
    </row>
    <row r="24" spans="1:21" x14ac:dyDescent="0.3">
      <c r="A24" s="6"/>
      <c r="B24" s="16"/>
      <c r="F24" s="21"/>
      <c r="G24" s="12"/>
      <c r="I24" s="19"/>
      <c r="J24" s="1"/>
      <c r="M24" s="7"/>
      <c r="N24" s="8"/>
      <c r="O24" s="8"/>
      <c r="P24" s="8"/>
      <c r="Q24" s="18"/>
      <c r="R24" s="24"/>
      <c r="S24" s="30"/>
      <c r="T24" s="25">
        <f>Tabla1462827[[#This Row],[TOTAL]]/1.19</f>
        <v>0</v>
      </c>
      <c r="U24" s="27">
        <f>Tabla1462827[[#This Row],[NETO]]*2%</f>
        <v>0</v>
      </c>
    </row>
    <row r="25" spans="1:21" x14ac:dyDescent="0.3">
      <c r="A25" s="6"/>
      <c r="B25" s="16"/>
      <c r="C25" s="44"/>
      <c r="F25" s="21"/>
      <c r="G25" s="12"/>
      <c r="I25" s="19"/>
      <c r="J25" s="1"/>
      <c r="M25" s="7"/>
      <c r="N25" s="8"/>
      <c r="O25" s="8"/>
      <c r="P25" s="8"/>
      <c r="Q25" s="18"/>
      <c r="R25" s="24"/>
      <c r="S25" s="30"/>
      <c r="T25" s="25">
        <f>Tabla1462827[[#This Row],[TOTAL]]/1.19</f>
        <v>0</v>
      </c>
      <c r="U25" s="27">
        <f>Tabla1462827[[#This Row],[NETO]]*2%</f>
        <v>0</v>
      </c>
    </row>
    <row r="26" spans="1:21" x14ac:dyDescent="0.3">
      <c r="A26" s="6"/>
      <c r="B26" s="16"/>
      <c r="F26" s="21"/>
      <c r="G26" s="12"/>
      <c r="I26" s="19"/>
      <c r="J26" s="1"/>
      <c r="L26" s="12"/>
      <c r="M26" s="7"/>
      <c r="N26" s="8"/>
      <c r="O26" s="8"/>
      <c r="P26" s="8"/>
      <c r="Q26" s="18"/>
      <c r="R26" s="24"/>
      <c r="S26" s="30"/>
      <c r="T26" s="25">
        <f>Tabla1462827[[#This Row],[TOTAL]]/1.19</f>
        <v>0</v>
      </c>
      <c r="U26" s="27">
        <f>Tabla1462827[[#This Row],[NETO]]*2%</f>
        <v>0</v>
      </c>
    </row>
    <row r="27" spans="1:21" x14ac:dyDescent="0.3">
      <c r="A27" s="6"/>
      <c r="B27" s="16"/>
      <c r="F27" s="21"/>
      <c r="G27" s="12"/>
      <c r="I27" s="19"/>
      <c r="J27" s="1"/>
      <c r="M27" s="7"/>
      <c r="N27" s="8"/>
      <c r="O27" s="8"/>
      <c r="P27" s="8"/>
      <c r="Q27" s="18"/>
      <c r="R27" s="24"/>
      <c r="S27" s="30"/>
      <c r="T27" s="25">
        <f>Tabla1462827[[#This Row],[TOTAL]]/1.19</f>
        <v>0</v>
      </c>
      <c r="U27" s="27">
        <f>Tabla1462827[[#This Row],[NETO]]*2%</f>
        <v>0</v>
      </c>
    </row>
    <row r="28" spans="1:21" x14ac:dyDescent="0.3">
      <c r="A28" s="6"/>
      <c r="B28" s="16"/>
      <c r="F28" s="21"/>
      <c r="G28" s="12"/>
      <c r="I28" s="19"/>
      <c r="J28" s="1"/>
      <c r="M28" s="7"/>
      <c r="N28" s="8"/>
      <c r="O28" s="8"/>
      <c r="P28" s="8"/>
      <c r="Q28" s="18"/>
      <c r="R28" s="24"/>
      <c r="S28" s="30"/>
      <c r="T28" s="25">
        <f>Tabla1462827[[#This Row],[TOTAL]]/1.19</f>
        <v>0</v>
      </c>
      <c r="U28" s="27">
        <f>Tabla1462827[[#This Row],[NETO]]*2%</f>
        <v>0</v>
      </c>
    </row>
    <row r="29" spans="1:21" x14ac:dyDescent="0.3">
      <c r="A29" s="6"/>
      <c r="B29" s="16"/>
      <c r="F29" s="41"/>
      <c r="G29" s="12"/>
      <c r="I29" s="19"/>
      <c r="J29" s="1"/>
      <c r="M29" s="7"/>
      <c r="N29" s="8"/>
      <c r="O29" s="8"/>
      <c r="P29" s="8"/>
      <c r="Q29" s="18"/>
      <c r="R29" s="24"/>
      <c r="S29" s="30"/>
      <c r="T29" s="25">
        <f>Tabla1462827[[#This Row],[TOTAL]]/1.19</f>
        <v>0</v>
      </c>
      <c r="U29" s="27">
        <f>Tabla1462827[[#This Row],[NETO]]*2%</f>
        <v>0</v>
      </c>
    </row>
    <row r="30" spans="1:21" x14ac:dyDescent="0.3">
      <c r="A30" s="6"/>
      <c r="B30" s="16"/>
      <c r="F30" s="21"/>
      <c r="G30" s="12"/>
      <c r="I30" s="19"/>
      <c r="J30" s="1"/>
      <c r="M30" s="7"/>
      <c r="N30" s="8"/>
      <c r="O30" s="8"/>
      <c r="P30" s="8"/>
      <c r="Q30" s="18"/>
      <c r="R30" s="24"/>
      <c r="S30" s="30"/>
      <c r="T30" s="25">
        <f>Tabla1462827[[#This Row],[TOTAL]]/1.19</f>
        <v>0</v>
      </c>
      <c r="U30" s="27">
        <f>Tabla1462827[[#This Row],[NETO]]*2%</f>
        <v>0</v>
      </c>
    </row>
    <row r="31" spans="1:21" x14ac:dyDescent="0.3">
      <c r="A31" s="6"/>
      <c r="B31" s="16"/>
      <c r="F31" s="21"/>
      <c r="G31" s="12"/>
      <c r="I31" s="19"/>
      <c r="J31" s="1"/>
      <c r="M31" s="7"/>
      <c r="N31" s="8"/>
      <c r="O31" s="8"/>
      <c r="P31" s="8"/>
      <c r="Q31" s="18"/>
      <c r="R31" s="24"/>
      <c r="S31" s="30"/>
      <c r="T31" s="25">
        <f>Tabla1462827[[#This Row],[TOTAL]]/1.19</f>
        <v>0</v>
      </c>
      <c r="U31" s="27">
        <f>Tabla1462827[[#This Row],[NETO]]*2%</f>
        <v>0</v>
      </c>
    </row>
    <row r="32" spans="1:21" x14ac:dyDescent="0.3">
      <c r="A32" s="6"/>
      <c r="B32" s="16"/>
      <c r="F32" s="21"/>
      <c r="G32" s="12"/>
      <c r="H32" s="49"/>
      <c r="I32" s="19"/>
      <c r="J32" s="1"/>
      <c r="M32" s="7"/>
      <c r="N32" s="8"/>
      <c r="O32" s="8"/>
      <c r="P32" s="8"/>
      <c r="Q32" s="18"/>
      <c r="R32" s="24"/>
      <c r="S32" s="30"/>
      <c r="T32" s="25">
        <f>Tabla1462827[[#This Row],[TOTAL]]/1.19</f>
        <v>0</v>
      </c>
      <c r="U32" s="27">
        <f>Tabla1462827[[#This Row],[NETO]]*2%</f>
        <v>0</v>
      </c>
    </row>
    <row r="33" spans="1:21" x14ac:dyDescent="0.3">
      <c r="A33" s="6"/>
      <c r="B33" s="16"/>
      <c r="F33" s="21"/>
      <c r="G33" s="12"/>
      <c r="I33" s="19"/>
      <c r="J33" s="1"/>
      <c r="M33" s="7"/>
      <c r="N33" s="8"/>
      <c r="O33" s="8"/>
      <c r="P33" s="8"/>
      <c r="Q33" s="18"/>
      <c r="R33" s="24"/>
      <c r="S33" s="30"/>
      <c r="T33" s="25">
        <f>Tabla1462827[[#This Row],[TOTAL]]/1.19</f>
        <v>0</v>
      </c>
      <c r="U33" s="27">
        <f>Tabla1462827[[#This Row],[NETO]]*2%</f>
        <v>0</v>
      </c>
    </row>
    <row r="34" spans="1:21" x14ac:dyDescent="0.3">
      <c r="A34" s="6"/>
      <c r="B34" s="16"/>
      <c r="F34" s="21"/>
      <c r="G34" s="12"/>
      <c r="I34" s="19"/>
      <c r="J34" s="1"/>
      <c r="M34" s="7"/>
      <c r="N34" s="8"/>
      <c r="O34" s="8"/>
      <c r="P34" s="8"/>
      <c r="Q34" s="18"/>
      <c r="R34" s="24"/>
      <c r="S34" s="30"/>
      <c r="T34" s="25">
        <f>Tabla1462827[[#This Row],[TOTAL]]/1.19</f>
        <v>0</v>
      </c>
      <c r="U34" s="27">
        <f>Tabla1462827[[#This Row],[NETO]]*2%</f>
        <v>0</v>
      </c>
    </row>
    <row r="35" spans="1:21" x14ac:dyDescent="0.3">
      <c r="A35" s="6"/>
      <c r="B35" s="16"/>
      <c r="F35" s="21"/>
      <c r="G35" s="12"/>
      <c r="I35" s="19"/>
      <c r="J35" s="1"/>
      <c r="M35" s="7"/>
      <c r="N35" s="8"/>
      <c r="O35" s="8"/>
      <c r="P35" s="8"/>
      <c r="Q35" s="18"/>
      <c r="R35" s="24"/>
      <c r="S35" s="30"/>
      <c r="T35" s="25">
        <f>Tabla1462827[[#This Row],[TOTAL]]/1.19</f>
        <v>0</v>
      </c>
      <c r="U35" s="27">
        <f>Tabla1462827[[#This Row],[NETO]]*2%</f>
        <v>0</v>
      </c>
    </row>
    <row r="36" spans="1:21" x14ac:dyDescent="0.3">
      <c r="A36" s="6"/>
      <c r="B36" s="16"/>
      <c r="F36" s="21"/>
      <c r="G36" s="12"/>
      <c r="I36" s="19"/>
      <c r="J36" s="1"/>
      <c r="M36" s="7"/>
      <c r="N36" s="8"/>
      <c r="O36" s="8"/>
      <c r="P36" s="8"/>
      <c r="Q36" s="18"/>
      <c r="R36" s="24"/>
      <c r="S36" s="30"/>
      <c r="T36" s="25">
        <f>Tabla1462827[[#This Row],[TOTAL]]/1.19</f>
        <v>0</v>
      </c>
      <c r="U36" s="27">
        <f>Tabla1462827[[#This Row],[NETO]]*2%</f>
        <v>0</v>
      </c>
    </row>
    <row r="37" spans="1:21" x14ac:dyDescent="0.3">
      <c r="A37" s="6"/>
      <c r="B37" s="16"/>
      <c r="F37" s="21"/>
      <c r="G37" s="12"/>
      <c r="I37" s="19"/>
      <c r="J37" s="1"/>
      <c r="M37" s="7"/>
      <c r="N37" s="8"/>
      <c r="O37" s="8"/>
      <c r="P37" s="8"/>
      <c r="Q37" s="18"/>
      <c r="R37" s="24"/>
      <c r="S37" s="30"/>
      <c r="T37" s="25">
        <f>Tabla1462827[[#This Row],[TOTAL]]/1.19</f>
        <v>0</v>
      </c>
      <c r="U37" s="27">
        <f>Tabla1462827[[#This Row],[NETO]]*2%</f>
        <v>0</v>
      </c>
    </row>
    <row r="38" spans="1:21" x14ac:dyDescent="0.3">
      <c r="A38" s="6"/>
      <c r="B38" s="16"/>
      <c r="F38" s="21"/>
      <c r="G38" s="12"/>
      <c r="I38" s="19"/>
      <c r="J38" s="1"/>
      <c r="M38" s="7"/>
      <c r="N38" s="8"/>
      <c r="O38" s="8"/>
      <c r="P38" s="8"/>
      <c r="Q38" s="18"/>
      <c r="R38" s="24"/>
      <c r="S38" s="30"/>
      <c r="T38" s="25">
        <f>Tabla1462827[[#This Row],[TOTAL]]/1.19</f>
        <v>0</v>
      </c>
      <c r="U38" s="27">
        <f>Tabla1462827[[#This Row],[NETO]]*2%</f>
        <v>0</v>
      </c>
    </row>
    <row r="39" spans="1:21" x14ac:dyDescent="0.3">
      <c r="A39" s="6"/>
      <c r="B39" s="16"/>
      <c r="F39" s="21"/>
      <c r="G39" s="12"/>
      <c r="I39" s="19"/>
      <c r="J39" s="1"/>
      <c r="M39" s="7"/>
      <c r="N39" s="8"/>
      <c r="O39" s="8"/>
      <c r="P39" s="8"/>
      <c r="Q39" s="18"/>
      <c r="R39" s="24"/>
      <c r="S39" s="30"/>
      <c r="T39" s="25">
        <f>Tabla1462827[[#This Row],[TOTAL]]/1.19</f>
        <v>0</v>
      </c>
      <c r="U39" s="27">
        <f>Tabla1462827[[#This Row],[NETO]]*2%</f>
        <v>0</v>
      </c>
    </row>
    <row r="40" spans="1:21" x14ac:dyDescent="0.3">
      <c r="A40" s="6"/>
      <c r="B40" s="16"/>
      <c r="F40" s="21"/>
      <c r="G40" s="12"/>
      <c r="I40" s="19"/>
      <c r="J40" s="1"/>
      <c r="M40" s="7"/>
      <c r="N40" s="8"/>
      <c r="O40" s="8"/>
      <c r="P40" s="8"/>
      <c r="Q40" s="18"/>
      <c r="R40" s="24"/>
      <c r="S40" s="30"/>
      <c r="T40" s="25">
        <f>Tabla1462827[[#This Row],[TOTAL]]/1.19</f>
        <v>0</v>
      </c>
      <c r="U40" s="27">
        <f>Tabla1462827[[#This Row],[NETO]]*2%</f>
        <v>0</v>
      </c>
    </row>
    <row r="41" spans="1:21" x14ac:dyDescent="0.3">
      <c r="A41" s="6"/>
      <c r="B41" s="16"/>
      <c r="F41" s="21"/>
      <c r="G41" s="12"/>
      <c r="I41" s="19"/>
      <c r="J41" s="1"/>
      <c r="M41" s="7"/>
      <c r="N41" s="8"/>
      <c r="O41" s="8"/>
      <c r="P41" s="8"/>
      <c r="Q41" s="18"/>
      <c r="R41" s="24"/>
      <c r="S41" s="30"/>
      <c r="T41" s="25">
        <f>Tabla1462827[[#This Row],[TOTAL]]/1.19</f>
        <v>0</v>
      </c>
      <c r="U41" s="27">
        <f>Tabla1462827[[#This Row],[NETO]]*2%</f>
        <v>0</v>
      </c>
    </row>
    <row r="42" spans="1:21" x14ac:dyDescent="0.3">
      <c r="A42" s="6"/>
      <c r="B42" s="16"/>
      <c r="F42" s="21"/>
      <c r="G42" s="12"/>
      <c r="I42" s="19"/>
      <c r="J42" s="1"/>
      <c r="M42" s="7"/>
      <c r="N42" s="8"/>
      <c r="O42" s="8"/>
      <c r="P42" s="8"/>
      <c r="Q42" s="18"/>
      <c r="R42" s="24"/>
      <c r="S42" s="30"/>
      <c r="T42" s="25">
        <f>Tabla1462827[[#This Row],[TOTAL]]/1.19</f>
        <v>0</v>
      </c>
      <c r="U42" s="27">
        <f>Tabla1462827[[#This Row],[NETO]]*2%</f>
        <v>0</v>
      </c>
    </row>
    <row r="43" spans="1:21" x14ac:dyDescent="0.3">
      <c r="A43" s="6"/>
      <c r="B43" s="16"/>
      <c r="F43" s="21"/>
      <c r="G43" s="12"/>
      <c r="I43" s="19"/>
      <c r="J43" s="1"/>
      <c r="M43" s="7"/>
      <c r="N43" s="8"/>
      <c r="O43" s="8"/>
      <c r="P43" s="8"/>
      <c r="Q43" s="18"/>
      <c r="R43" s="24"/>
      <c r="S43" s="30"/>
      <c r="T43" s="25">
        <f>Tabla1462827[[#This Row],[TOTAL]]/1.19</f>
        <v>0</v>
      </c>
      <c r="U43" s="27">
        <f>Tabla1462827[[#This Row],[NETO]]*2%</f>
        <v>0</v>
      </c>
    </row>
    <row r="44" spans="1:21" x14ac:dyDescent="0.3">
      <c r="A44" s="6"/>
      <c r="B44" s="16"/>
      <c r="F44" s="34"/>
      <c r="G44" s="12"/>
      <c r="I44" s="19"/>
      <c r="J44" s="1"/>
      <c r="M44" s="7"/>
      <c r="N44" s="8"/>
      <c r="O44" s="8"/>
      <c r="P44" s="8"/>
      <c r="Q44" s="18"/>
      <c r="R44" s="24"/>
      <c r="S44" s="30"/>
      <c r="T44" s="25">
        <f>Tabla1462827[[#This Row],[TOTAL]]/1.19</f>
        <v>0</v>
      </c>
      <c r="U44" s="27">
        <f>Tabla1462827[[#This Row],[NETO]]*2%</f>
        <v>0</v>
      </c>
    </row>
    <row r="45" spans="1:21" x14ac:dyDescent="0.3">
      <c r="A45" s="6"/>
      <c r="B45" s="16"/>
      <c r="F45" s="21"/>
      <c r="G45" s="12"/>
      <c r="I45" s="19"/>
      <c r="J45" s="1"/>
      <c r="M45" s="7"/>
      <c r="N45" s="8"/>
      <c r="O45" s="8"/>
      <c r="P45" s="8"/>
      <c r="Q45" s="18"/>
      <c r="R45" s="24"/>
      <c r="S45" s="30"/>
      <c r="T45" s="25">
        <f>Tabla1462827[[#This Row],[TOTAL]]/1.19</f>
        <v>0</v>
      </c>
      <c r="U45" s="27">
        <f>Tabla1462827[[#This Row],[NETO]]*2%</f>
        <v>0</v>
      </c>
    </row>
    <row r="46" spans="1:21" x14ac:dyDescent="0.3">
      <c r="A46" s="6"/>
      <c r="B46" s="16"/>
      <c r="F46" s="21"/>
      <c r="G46" s="12"/>
      <c r="I46" s="19"/>
      <c r="J46" s="1"/>
      <c r="M46" s="7"/>
      <c r="N46" s="8"/>
      <c r="O46" s="8"/>
      <c r="P46" s="8"/>
      <c r="Q46" s="18"/>
      <c r="R46" s="24"/>
      <c r="S46" s="30"/>
      <c r="T46" s="25">
        <f>Tabla1462827[[#This Row],[TOTAL]]/1.19</f>
        <v>0</v>
      </c>
      <c r="U46" s="27">
        <f>Tabla1462827[[#This Row],[NETO]]*2%</f>
        <v>0</v>
      </c>
    </row>
    <row r="47" spans="1:21" x14ac:dyDescent="0.3">
      <c r="A47" s="6"/>
      <c r="B47" s="16"/>
      <c r="F47" s="21"/>
      <c r="G47" s="12"/>
      <c r="I47" s="19"/>
      <c r="J47" s="1"/>
      <c r="M47" s="7"/>
      <c r="N47" s="8"/>
      <c r="O47" s="8"/>
      <c r="P47" s="8"/>
      <c r="Q47" s="18"/>
      <c r="R47" s="24"/>
      <c r="S47" s="30"/>
      <c r="T47" s="25">
        <f>Tabla1462827[[#This Row],[TOTAL]]/1.19</f>
        <v>0</v>
      </c>
      <c r="U47" s="27">
        <f>Tabla1462827[[#This Row],[NETO]]*2%</f>
        <v>0</v>
      </c>
    </row>
    <row r="48" spans="1:21" x14ac:dyDescent="0.3">
      <c r="A48" s="6"/>
      <c r="B48" s="16"/>
      <c r="F48" s="21"/>
      <c r="G48" s="12"/>
      <c r="I48" s="19"/>
      <c r="J48" s="1"/>
      <c r="M48" s="7"/>
      <c r="N48" s="8"/>
      <c r="O48" s="8"/>
      <c r="P48" s="8"/>
      <c r="Q48" s="18"/>
      <c r="R48" s="24"/>
      <c r="S48" s="30"/>
      <c r="T48" s="25">
        <f>S48/1.19</f>
        <v>0</v>
      </c>
      <c r="U48" s="27">
        <f>Tabla1462827[[#This Row],[NETO]]*2%</f>
        <v>0</v>
      </c>
    </row>
    <row r="49" spans="1:25" x14ac:dyDescent="0.3">
      <c r="A49" s="6"/>
      <c r="B49" s="16"/>
      <c r="F49" s="21"/>
      <c r="G49" s="12"/>
      <c r="I49" s="19"/>
      <c r="J49" s="1"/>
      <c r="M49" s="7"/>
      <c r="N49" s="8"/>
      <c r="O49" s="8"/>
      <c r="P49" s="8"/>
      <c r="Q49" s="18"/>
      <c r="R49" s="24"/>
      <c r="S49" s="30"/>
      <c r="T49" s="25">
        <f>S49/1.19</f>
        <v>0</v>
      </c>
      <c r="U49" s="27">
        <f>Tabla1462827[[#This Row],[NETO]]*2%</f>
        <v>0</v>
      </c>
    </row>
    <row r="50" spans="1:25" x14ac:dyDescent="0.3">
      <c r="A50" s="6"/>
      <c r="B50" s="16"/>
      <c r="F50" s="21"/>
      <c r="G50" s="12"/>
      <c r="I50" s="19"/>
      <c r="J50" s="1"/>
      <c r="M50" s="7"/>
      <c r="N50" s="8"/>
      <c r="O50" s="8"/>
      <c r="P50" s="8"/>
      <c r="Q50" s="18"/>
      <c r="R50" s="24"/>
      <c r="S50" s="30"/>
      <c r="T50" s="25">
        <f>S50/1.19</f>
        <v>0</v>
      </c>
      <c r="U50" s="27">
        <f>Tabla1462827[[#This Row],[NETO]]*2%</f>
        <v>0</v>
      </c>
      <c r="X50" s="127"/>
      <c r="Y50" s="127"/>
    </row>
    <row r="51" spans="1:25" x14ac:dyDescent="0.3">
      <c r="A51" s="6"/>
      <c r="B51" s="16"/>
      <c r="F51" s="21"/>
      <c r="G51" s="12"/>
      <c r="I51" s="19"/>
      <c r="J51" s="1"/>
      <c r="M51" s="7"/>
      <c r="N51" s="8"/>
      <c r="O51" s="8"/>
      <c r="P51" s="8"/>
      <c r="Q51" s="18"/>
      <c r="R51" s="24"/>
      <c r="S51" s="30"/>
      <c r="T51" s="25">
        <f>S51/1.19</f>
        <v>0</v>
      </c>
      <c r="U51" s="27">
        <f>Tabla1462827[[#This Row],[NETO]]*2%</f>
        <v>0</v>
      </c>
      <c r="X51" s="51"/>
      <c r="Y51" s="50"/>
    </row>
    <row r="52" spans="1:25" x14ac:dyDescent="0.3">
      <c r="A52" s="6"/>
      <c r="B52" s="16"/>
      <c r="F52" s="21"/>
      <c r="G52" s="12"/>
      <c r="H52" s="49"/>
      <c r="I52" s="19"/>
      <c r="J52" s="1"/>
      <c r="M52" s="7"/>
      <c r="N52" s="8"/>
      <c r="O52" s="8"/>
      <c r="P52" s="8"/>
      <c r="Q52" s="18"/>
      <c r="R52" s="24"/>
      <c r="S52" s="30"/>
      <c r="T52" s="25">
        <f>S52/1.19</f>
        <v>0</v>
      </c>
      <c r="U52" s="27">
        <f>Tabla1462827[[#This Row],[NETO]]*2%</f>
        <v>0</v>
      </c>
      <c r="X52" s="51"/>
      <c r="Y52" s="50"/>
    </row>
    <row r="53" spans="1:25" ht="15" thickBot="1" x14ac:dyDescent="0.35">
      <c r="A53" s="5" t="s">
        <v>18</v>
      </c>
      <c r="B53" s="17">
        <f>COUNT(B3:B52)</f>
        <v>0</v>
      </c>
      <c r="C53" s="4"/>
      <c r="D53" s="4"/>
      <c r="E53" s="4"/>
      <c r="F53" s="22"/>
      <c r="G53" s="13"/>
      <c r="H53" s="14"/>
      <c r="I53" s="20"/>
      <c r="J53" s="23"/>
      <c r="K53" s="14"/>
      <c r="L53" s="14"/>
      <c r="M53" s="9"/>
      <c r="N53" s="10"/>
      <c r="O53" s="10"/>
      <c r="P53" s="10"/>
      <c r="Q53" s="11"/>
      <c r="R53" s="31"/>
      <c r="S53" s="32">
        <f>SUM(S3:S52)</f>
        <v>0</v>
      </c>
      <c r="T53" s="32">
        <f>SUM(T3:T52)</f>
        <v>0</v>
      </c>
      <c r="U53" s="32">
        <f>Tabla1462827[[#This Row],[NETO]]*2%</f>
        <v>0</v>
      </c>
      <c r="X53" s="51"/>
      <c r="Y53" s="50"/>
    </row>
    <row r="55" spans="1:25" x14ac:dyDescent="0.3">
      <c r="T55" s="40"/>
      <c r="U55" s="39"/>
    </row>
    <row r="56" spans="1:25" x14ac:dyDescent="0.3">
      <c r="T56" s="40"/>
      <c r="U56" s="39"/>
      <c r="V56" s="39"/>
    </row>
  </sheetData>
  <mergeCells count="5">
    <mergeCell ref="C1:F1"/>
    <mergeCell ref="G1:L1"/>
    <mergeCell ref="M1:Q1"/>
    <mergeCell ref="R1:U1"/>
    <mergeCell ref="X50:Y50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4E23-DEBD-4EF3-8D85-0496425CAFF0}">
  <dimension ref="A1:AG82"/>
  <sheetViews>
    <sheetView topLeftCell="F1" zoomScale="68" zoomScaleNormal="68" workbookViewId="0">
      <selection activeCell="X2" sqref="X2:AA4"/>
    </sheetView>
  </sheetViews>
  <sheetFormatPr baseColWidth="10" defaultRowHeight="14.4" x14ac:dyDescent="0.3"/>
  <cols>
    <col min="3" max="3" width="20.5546875" bestFit="1" customWidth="1"/>
    <col min="5" max="5" width="12" bestFit="1" customWidth="1"/>
    <col min="13" max="13" width="8.109375" customWidth="1"/>
    <col min="14" max="14" width="7.5546875" customWidth="1"/>
    <col min="15" max="15" width="6.6640625" customWidth="1"/>
    <col min="16" max="16" width="7.88671875" customWidth="1"/>
    <col min="19" max="19" width="15.109375" customWidth="1"/>
    <col min="20" max="20" width="16.33203125" customWidth="1"/>
    <col min="24" max="24" width="12" style="1" customWidth="1"/>
    <col min="25" max="25" width="12" customWidth="1"/>
    <col min="26" max="26" width="12" style="3" customWidth="1"/>
    <col min="27" max="27" width="19.77734375" bestFit="1" customWidth="1"/>
  </cols>
  <sheetData>
    <row r="1" spans="1:33" ht="18" x14ac:dyDescent="0.35">
      <c r="A1" s="2"/>
      <c r="B1" s="15"/>
      <c r="C1" s="131" t="s">
        <v>1</v>
      </c>
      <c r="D1" s="132"/>
      <c r="E1" s="132"/>
      <c r="F1" s="133"/>
      <c r="G1" s="121" t="s">
        <v>6</v>
      </c>
      <c r="H1" s="122"/>
      <c r="I1" s="122"/>
      <c r="J1" s="122"/>
      <c r="K1" s="123"/>
      <c r="L1" s="123"/>
      <c r="M1" s="121" t="s">
        <v>13</v>
      </c>
      <c r="N1" s="122"/>
      <c r="O1" s="122"/>
      <c r="P1" s="122"/>
      <c r="Q1" s="124"/>
      <c r="R1" s="125" t="s">
        <v>24</v>
      </c>
      <c r="S1" s="126"/>
      <c r="T1" s="126"/>
      <c r="U1" s="126"/>
      <c r="X1" s="1" t="s">
        <v>22</v>
      </c>
      <c r="Y1" t="s">
        <v>25</v>
      </c>
      <c r="Z1" s="3" t="s">
        <v>19</v>
      </c>
      <c r="AA1" t="s">
        <v>37</v>
      </c>
    </row>
    <row r="2" spans="1:33" x14ac:dyDescent="0.3">
      <c r="A2" s="2" t="s">
        <v>0</v>
      </c>
      <c r="B2" s="16" t="s">
        <v>22</v>
      </c>
      <c r="C2" t="s">
        <v>3</v>
      </c>
      <c r="D2" t="s">
        <v>2</v>
      </c>
      <c r="E2" t="s">
        <v>4</v>
      </c>
      <c r="F2" t="s">
        <v>5</v>
      </c>
      <c r="G2" s="12" t="s">
        <v>7</v>
      </c>
      <c r="H2" t="s">
        <v>8</v>
      </c>
      <c r="I2" s="19" t="s">
        <v>10</v>
      </c>
      <c r="J2" s="1" t="s">
        <v>9</v>
      </c>
      <c r="K2" t="s">
        <v>11</v>
      </c>
      <c r="L2" t="s">
        <v>12</v>
      </c>
      <c r="M2" s="7" t="s">
        <v>14</v>
      </c>
      <c r="N2" s="8" t="s">
        <v>15</v>
      </c>
      <c r="O2" s="8" t="s">
        <v>16</v>
      </c>
      <c r="P2" s="8" t="s">
        <v>17</v>
      </c>
      <c r="Q2" s="18" t="s">
        <v>21</v>
      </c>
      <c r="R2" s="24" t="s">
        <v>23</v>
      </c>
      <c r="S2" s="29" t="s">
        <v>18</v>
      </c>
      <c r="T2" s="26" t="s">
        <v>20</v>
      </c>
      <c r="U2" s="28" t="s">
        <v>19</v>
      </c>
      <c r="AD2" s="134" t="s">
        <v>38</v>
      </c>
      <c r="AE2" s="134"/>
      <c r="AF2" s="56" t="s">
        <v>39</v>
      </c>
      <c r="AG2" s="60" t="s">
        <v>18</v>
      </c>
    </row>
    <row r="3" spans="1:33" x14ac:dyDescent="0.3">
      <c r="A3" s="6"/>
      <c r="B3" s="16"/>
      <c r="F3" s="21"/>
      <c r="G3" s="12"/>
      <c r="I3" s="36"/>
      <c r="J3" s="1"/>
      <c r="M3" s="7"/>
      <c r="N3" s="8"/>
      <c r="O3" s="8"/>
      <c r="P3" s="8"/>
      <c r="Q3" s="18"/>
      <c r="R3" s="24"/>
      <c r="S3" s="29"/>
      <c r="T3" s="25">
        <f>Tabla146281012[[#This Row],[TOTAL]]/1.19</f>
        <v>0</v>
      </c>
      <c r="U3" s="27">
        <f>Tabla146281012[[#This Row],[NETO]]*2%</f>
        <v>0</v>
      </c>
      <c r="AD3" s="55" t="s">
        <v>33</v>
      </c>
      <c r="AE3" s="59">
        <v>822642</v>
      </c>
      <c r="AF3" s="57">
        <v>402268</v>
      </c>
      <c r="AG3" s="58">
        <f>AE3-AF3</f>
        <v>420374</v>
      </c>
    </row>
    <row r="4" spans="1:33" x14ac:dyDescent="0.3">
      <c r="A4" s="6"/>
      <c r="B4" s="16"/>
      <c r="F4" s="34"/>
      <c r="G4" s="12"/>
      <c r="I4" s="36"/>
      <c r="J4" s="1"/>
      <c r="M4" s="7"/>
      <c r="N4" s="8"/>
      <c r="O4" s="8"/>
      <c r="P4" s="8"/>
      <c r="Q4" s="18"/>
      <c r="R4" s="24"/>
      <c r="S4" s="29"/>
      <c r="T4" s="25">
        <f>Tabla146281012[[#This Row],[TOTAL]]/1.19</f>
        <v>0</v>
      </c>
      <c r="U4" s="27">
        <f>Tabla146281012[[#This Row],[NETO]]*2%</f>
        <v>0</v>
      </c>
    </row>
    <row r="5" spans="1:33" x14ac:dyDescent="0.3">
      <c r="A5" s="6"/>
      <c r="B5" s="16"/>
      <c r="G5" s="12"/>
      <c r="I5" s="36"/>
      <c r="J5" s="1"/>
      <c r="M5" s="7"/>
      <c r="N5" s="8"/>
      <c r="O5" s="8"/>
      <c r="P5" s="8"/>
      <c r="Q5" s="18"/>
      <c r="R5" s="24"/>
      <c r="S5" s="29"/>
      <c r="T5" s="25">
        <f>Tabla146281012[[#This Row],[TOTAL]]/1.19</f>
        <v>0</v>
      </c>
      <c r="U5" s="27">
        <f>Tabla146281012[[#This Row],[NETO]]*2%</f>
        <v>0</v>
      </c>
    </row>
    <row r="6" spans="1:33" x14ac:dyDescent="0.3">
      <c r="A6" s="6"/>
      <c r="B6" s="16"/>
      <c r="F6" s="34"/>
      <c r="G6" s="12"/>
      <c r="I6" s="36"/>
      <c r="J6" s="1"/>
      <c r="M6" s="7"/>
      <c r="N6" s="8"/>
      <c r="O6" s="8"/>
      <c r="P6" s="8"/>
      <c r="Q6" s="18"/>
      <c r="R6" s="24"/>
      <c r="S6" s="29"/>
      <c r="T6" s="25">
        <f>Tabla146281012[[#This Row],[TOTAL]]/1.19</f>
        <v>0</v>
      </c>
      <c r="U6" s="27">
        <f>Tabla146281012[[#This Row],[NETO]]*2%</f>
        <v>0</v>
      </c>
    </row>
    <row r="7" spans="1:33" x14ac:dyDescent="0.3">
      <c r="A7" s="6"/>
      <c r="B7" s="16"/>
      <c r="F7" s="21"/>
      <c r="G7" s="12"/>
      <c r="M7" s="7"/>
      <c r="N7" s="8"/>
      <c r="O7" s="8"/>
      <c r="P7" s="8"/>
      <c r="Q7" s="18"/>
      <c r="R7" s="52"/>
      <c r="S7" s="29"/>
      <c r="T7" s="25">
        <f>Tabla146281012[[#This Row],[TOTAL]]/1.19</f>
        <v>0</v>
      </c>
      <c r="U7" s="27">
        <f>Tabla146281012[[#This Row],[NETO]]*2%</f>
        <v>0</v>
      </c>
    </row>
    <row r="8" spans="1:33" x14ac:dyDescent="0.3">
      <c r="A8" s="6"/>
      <c r="B8" s="16"/>
      <c r="F8" s="21"/>
      <c r="G8" s="12"/>
      <c r="I8" s="33"/>
      <c r="J8" s="1"/>
      <c r="M8" s="7"/>
      <c r="N8" s="8"/>
      <c r="O8" s="8"/>
      <c r="P8" s="8"/>
      <c r="Q8" s="2"/>
      <c r="R8" s="24"/>
      <c r="S8" s="29"/>
      <c r="T8" s="25">
        <f>Tabla146281012[[#This Row],[TOTAL]]/1.19</f>
        <v>0</v>
      </c>
      <c r="U8" s="27">
        <f>Tabla146281012[[#This Row],[NETO]]*2%</f>
        <v>0</v>
      </c>
    </row>
    <row r="9" spans="1:33" x14ac:dyDescent="0.3">
      <c r="A9" s="6"/>
      <c r="B9" s="16"/>
      <c r="F9" s="21"/>
      <c r="G9" s="12"/>
      <c r="I9" s="36"/>
      <c r="J9" s="1"/>
      <c r="M9" s="7"/>
      <c r="N9" s="8"/>
      <c r="O9" s="8"/>
      <c r="P9" s="8"/>
      <c r="Q9" s="18"/>
      <c r="R9" s="24"/>
      <c r="S9" s="29"/>
      <c r="T9" s="25">
        <f>Tabla146281012[[#This Row],[TOTAL]]/1.19</f>
        <v>0</v>
      </c>
      <c r="U9" s="27">
        <f>Tabla146281012[[#This Row],[NETO]]*2%</f>
        <v>0</v>
      </c>
    </row>
    <row r="10" spans="1:33" x14ac:dyDescent="0.3">
      <c r="A10" s="6"/>
      <c r="B10" s="16"/>
      <c r="F10" s="34"/>
      <c r="G10" s="12"/>
      <c r="I10" s="36"/>
      <c r="J10" s="1"/>
      <c r="M10" s="7"/>
      <c r="N10" s="8"/>
      <c r="O10" s="8"/>
      <c r="P10" s="8"/>
      <c r="Q10" s="18"/>
      <c r="R10" s="24"/>
      <c r="S10" s="29"/>
      <c r="T10" s="25">
        <f>Tabla146281012[[#This Row],[TOTAL]]/1.19</f>
        <v>0</v>
      </c>
      <c r="U10" s="27">
        <f>Tabla146281012[[#This Row],[NETO]]*2%</f>
        <v>0</v>
      </c>
    </row>
    <row r="11" spans="1:33" x14ac:dyDescent="0.3">
      <c r="A11" s="6"/>
      <c r="B11" s="16"/>
      <c r="F11" s="34"/>
      <c r="G11" s="12"/>
      <c r="I11" s="36"/>
      <c r="J11" s="1"/>
      <c r="M11" s="7"/>
      <c r="N11" s="8"/>
      <c r="O11" s="8"/>
      <c r="P11" s="8"/>
      <c r="Q11" s="18"/>
      <c r="R11" s="24"/>
      <c r="S11" s="29"/>
      <c r="T11" s="25">
        <f>Tabla146281012[[#This Row],[TOTAL]]/1.19</f>
        <v>0</v>
      </c>
      <c r="U11" s="27">
        <f>Tabla146281012[[#This Row],[NETO]]*2%</f>
        <v>0</v>
      </c>
    </row>
    <row r="12" spans="1:33" x14ac:dyDescent="0.3">
      <c r="A12" s="6"/>
      <c r="B12" s="16"/>
      <c r="F12" s="34"/>
      <c r="G12" s="12"/>
      <c r="H12" s="12"/>
      <c r="I12" s="37"/>
      <c r="J12" s="53"/>
      <c r="M12" s="7"/>
      <c r="N12" s="8"/>
      <c r="O12" s="8"/>
      <c r="P12" s="8"/>
      <c r="Q12" s="18"/>
      <c r="R12" s="24"/>
      <c r="S12" s="29"/>
      <c r="T12" s="25">
        <f>Tabla146281012[[#This Row],[TOTAL]]/1.19</f>
        <v>0</v>
      </c>
      <c r="U12" s="27">
        <f>Tabla146281012[[#This Row],[NETO]]*2%</f>
        <v>0</v>
      </c>
    </row>
    <row r="13" spans="1:33" x14ac:dyDescent="0.3">
      <c r="A13" s="6"/>
      <c r="B13" s="16"/>
      <c r="F13" s="21"/>
      <c r="G13" s="12"/>
      <c r="H13" s="49"/>
      <c r="I13" s="36"/>
      <c r="J13" s="1"/>
      <c r="M13" s="7"/>
      <c r="N13" s="8"/>
      <c r="O13" s="8"/>
      <c r="P13" s="8"/>
      <c r="Q13" s="18"/>
      <c r="R13" s="24"/>
      <c r="S13" s="29"/>
      <c r="T13" s="25">
        <f>Tabla146281012[[#This Row],[TOTAL]]/1.19</f>
        <v>0</v>
      </c>
      <c r="U13" s="27">
        <f>Tabla146281012[[#This Row],[NETO]]*2%</f>
        <v>0</v>
      </c>
    </row>
    <row r="14" spans="1:33" x14ac:dyDescent="0.3">
      <c r="A14" s="6"/>
      <c r="B14" s="16"/>
      <c r="F14" s="34"/>
      <c r="G14" s="12"/>
      <c r="I14" s="36"/>
      <c r="J14" s="1"/>
      <c r="M14" s="7"/>
      <c r="N14" s="8"/>
      <c r="O14" s="8"/>
      <c r="P14" s="8"/>
      <c r="Q14" s="18"/>
      <c r="R14" s="24"/>
      <c r="S14" s="29"/>
      <c r="T14" s="25">
        <f>Tabla146281012[[#This Row],[TOTAL]]/1.19</f>
        <v>0</v>
      </c>
      <c r="U14" s="27">
        <f>Tabla146281012[[#This Row],[NETO]]*2%</f>
        <v>0</v>
      </c>
    </row>
    <row r="15" spans="1:33" x14ac:dyDescent="0.3">
      <c r="A15" s="6"/>
      <c r="B15" s="16"/>
      <c r="F15" s="34"/>
      <c r="G15" s="12"/>
      <c r="H15" s="12"/>
      <c r="I15" s="33"/>
      <c r="J15" s="1"/>
      <c r="M15" s="7"/>
      <c r="N15" s="8"/>
      <c r="O15" s="8"/>
      <c r="P15" s="8"/>
      <c r="Q15" s="2"/>
      <c r="R15" s="24"/>
      <c r="S15" s="30"/>
      <c r="T15" s="25">
        <f>Tabla146281012[[#This Row],[TOTAL]]/1.19</f>
        <v>0</v>
      </c>
      <c r="U15" s="27">
        <f>Tabla146281012[[#This Row],[NETO]]*2%</f>
        <v>0</v>
      </c>
    </row>
    <row r="16" spans="1:33" x14ac:dyDescent="0.3">
      <c r="A16" s="6"/>
      <c r="B16" s="16"/>
      <c r="F16" s="34"/>
      <c r="G16" s="12"/>
      <c r="H16" s="49"/>
      <c r="I16" s="36"/>
      <c r="J16" s="1"/>
      <c r="M16" s="7"/>
      <c r="N16" s="8"/>
      <c r="O16" s="8"/>
      <c r="P16" s="8"/>
      <c r="Q16" s="18"/>
      <c r="R16" s="24"/>
      <c r="S16" s="30"/>
      <c r="T16" s="25">
        <f>Tabla146281012[[#This Row],[TOTAL]]/1.19</f>
        <v>0</v>
      </c>
      <c r="U16" s="27">
        <f>Tabla146281012[[#This Row],[NETO]]*2%</f>
        <v>0</v>
      </c>
    </row>
    <row r="17" spans="1:21" x14ac:dyDescent="0.3">
      <c r="A17" s="6"/>
      <c r="B17" s="16"/>
      <c r="F17" s="34"/>
      <c r="G17" s="12"/>
      <c r="I17" s="36"/>
      <c r="J17" s="1"/>
      <c r="M17" s="7"/>
      <c r="N17" s="8"/>
      <c r="O17" s="8"/>
      <c r="P17" s="8"/>
      <c r="Q17" s="18"/>
      <c r="R17" s="24"/>
      <c r="S17" s="30"/>
      <c r="T17" s="25">
        <f>Tabla146281012[[#This Row],[TOTAL]]/1.19</f>
        <v>0</v>
      </c>
      <c r="U17" s="27">
        <f>Tabla146281012[[#This Row],[NETO]]*2%</f>
        <v>0</v>
      </c>
    </row>
    <row r="18" spans="1:21" x14ac:dyDescent="0.3">
      <c r="A18" s="6"/>
      <c r="B18" s="16"/>
      <c r="F18" s="21"/>
      <c r="G18" s="12"/>
      <c r="H18" s="49"/>
      <c r="I18" s="19"/>
      <c r="J18" s="1"/>
      <c r="M18" s="7"/>
      <c r="N18" s="8"/>
      <c r="O18" s="8"/>
      <c r="P18" s="8"/>
      <c r="Q18" s="18"/>
      <c r="R18" s="24"/>
      <c r="S18" s="30"/>
      <c r="T18" s="25">
        <f>Tabla146281012[[#This Row],[TOTAL]]/1.19</f>
        <v>0</v>
      </c>
      <c r="U18" s="27">
        <f>Tabla146281012[[#This Row],[NETO]]*2%</f>
        <v>0</v>
      </c>
    </row>
    <row r="19" spans="1:21" x14ac:dyDescent="0.3">
      <c r="A19" s="6"/>
      <c r="B19" s="16"/>
      <c r="F19" s="21"/>
      <c r="G19" s="12"/>
      <c r="I19" s="19"/>
      <c r="J19" s="1"/>
      <c r="M19" s="7"/>
      <c r="N19" s="8"/>
      <c r="O19" s="8"/>
      <c r="P19" s="8"/>
      <c r="Q19" s="18"/>
      <c r="R19" s="24"/>
      <c r="S19" s="30"/>
      <c r="T19" s="25">
        <f>Tabla146281012[[#This Row],[TOTAL]]/1.19</f>
        <v>0</v>
      </c>
      <c r="U19" s="27">
        <f>Tabla146281012[[#This Row],[NETO]]*2%</f>
        <v>0</v>
      </c>
    </row>
    <row r="20" spans="1:21" x14ac:dyDescent="0.3">
      <c r="A20" s="6"/>
      <c r="B20" s="16"/>
      <c r="F20" s="21"/>
      <c r="G20" s="12"/>
      <c r="I20" s="19"/>
      <c r="J20" s="1"/>
      <c r="M20" s="7"/>
      <c r="N20" s="8"/>
      <c r="O20" s="8"/>
      <c r="P20" s="8"/>
      <c r="Q20" s="18"/>
      <c r="R20" s="24"/>
      <c r="S20" s="30"/>
      <c r="T20" s="25">
        <f>Tabla146281012[[#This Row],[TOTAL]]/1.19</f>
        <v>0</v>
      </c>
      <c r="U20" s="27">
        <f>Tabla146281012[[#This Row],[NETO]]*2%</f>
        <v>0</v>
      </c>
    </row>
    <row r="21" spans="1:21" x14ac:dyDescent="0.3">
      <c r="A21" s="6"/>
      <c r="B21" s="16"/>
      <c r="F21" s="21"/>
      <c r="G21" s="12"/>
      <c r="I21" s="33"/>
      <c r="J21" s="1"/>
      <c r="M21" s="7"/>
      <c r="N21" s="8"/>
      <c r="O21" s="8"/>
      <c r="P21" s="8"/>
      <c r="Q21" s="2"/>
      <c r="R21" s="52"/>
      <c r="S21" s="30"/>
      <c r="T21" s="25">
        <f>Tabla146281012[[#This Row],[TOTAL]]/1.19</f>
        <v>0</v>
      </c>
      <c r="U21" s="27">
        <f>Tabla146281012[[#This Row],[NETO]]*2%</f>
        <v>0</v>
      </c>
    </row>
    <row r="22" spans="1:21" x14ac:dyDescent="0.3">
      <c r="A22" s="6"/>
      <c r="B22" s="16"/>
      <c r="G22" s="12"/>
      <c r="I22" s="19"/>
      <c r="J22" s="1"/>
      <c r="M22" s="7"/>
      <c r="N22" s="8"/>
      <c r="O22" s="8"/>
      <c r="P22" s="8"/>
      <c r="R22" s="24"/>
      <c r="S22" s="30"/>
      <c r="T22" s="25">
        <f>Tabla146281012[[#This Row],[TOTAL]]/1.19</f>
        <v>0</v>
      </c>
      <c r="U22" s="27">
        <f>Tabla146281012[[#This Row],[NETO]]*2%</f>
        <v>0</v>
      </c>
    </row>
    <row r="23" spans="1:21" x14ac:dyDescent="0.3">
      <c r="A23" s="6"/>
      <c r="B23" s="16"/>
      <c r="F23" s="21"/>
      <c r="G23" s="12"/>
      <c r="I23" s="33"/>
      <c r="J23" s="1"/>
      <c r="L23" s="54"/>
      <c r="M23" s="7"/>
      <c r="N23" s="8"/>
      <c r="O23" s="8"/>
      <c r="P23" s="8"/>
      <c r="Q23" s="18"/>
      <c r="R23" s="24"/>
      <c r="S23" s="30"/>
      <c r="T23" s="25">
        <f>Tabla146281012[[#This Row],[TOTAL]]/1.19</f>
        <v>0</v>
      </c>
      <c r="U23" s="27">
        <f>Tabla146281012[[#This Row],[NETO]]*2%</f>
        <v>0</v>
      </c>
    </row>
    <row r="24" spans="1:21" x14ac:dyDescent="0.3">
      <c r="A24" s="6"/>
      <c r="B24" s="16"/>
      <c r="F24" s="21"/>
      <c r="G24" s="12"/>
      <c r="I24" s="19"/>
      <c r="J24" s="1"/>
      <c r="M24" s="7"/>
      <c r="N24" s="8"/>
      <c r="O24" s="8"/>
      <c r="P24" s="8"/>
      <c r="Q24" s="18"/>
      <c r="R24" s="24"/>
      <c r="S24" s="30"/>
      <c r="T24" s="25">
        <f>Tabla146281012[[#This Row],[TOTAL]]/1.19</f>
        <v>0</v>
      </c>
      <c r="U24" s="27">
        <f>Tabla146281012[[#This Row],[NETO]]*2%</f>
        <v>0</v>
      </c>
    </row>
    <row r="25" spans="1:21" x14ac:dyDescent="0.3">
      <c r="A25" s="6"/>
      <c r="B25" s="16"/>
      <c r="C25" s="44"/>
      <c r="F25" s="21"/>
      <c r="G25" s="12"/>
      <c r="H25" s="49"/>
      <c r="I25" s="19"/>
      <c r="J25" s="1"/>
      <c r="M25" s="7"/>
      <c r="N25" s="8"/>
      <c r="O25" s="8"/>
      <c r="P25" s="8"/>
      <c r="Q25" s="18"/>
      <c r="R25" s="24"/>
      <c r="S25" s="30"/>
      <c r="T25" s="25">
        <f>Tabla146281012[[#This Row],[TOTAL]]/1.19</f>
        <v>0</v>
      </c>
      <c r="U25" s="27">
        <f>Tabla146281012[[#This Row],[NETO]]*2%</f>
        <v>0</v>
      </c>
    </row>
    <row r="26" spans="1:21" x14ac:dyDescent="0.3">
      <c r="A26" s="6"/>
      <c r="B26" s="16"/>
      <c r="F26" s="21"/>
      <c r="G26" s="12"/>
      <c r="I26" s="19"/>
      <c r="J26" s="1"/>
      <c r="L26" s="12"/>
      <c r="M26" s="7"/>
      <c r="N26" s="8"/>
      <c r="O26" s="8"/>
      <c r="P26" s="8"/>
      <c r="Q26" s="18"/>
      <c r="R26" s="24"/>
      <c r="S26" s="30"/>
      <c r="T26" s="25">
        <f>Tabla146281012[[#This Row],[TOTAL]]/1.19</f>
        <v>0</v>
      </c>
      <c r="U26" s="27">
        <f>Tabla146281012[[#This Row],[NETO]]*2%</f>
        <v>0</v>
      </c>
    </row>
    <row r="27" spans="1:21" x14ac:dyDescent="0.3">
      <c r="A27" s="6"/>
      <c r="B27" s="16"/>
      <c r="F27" s="21"/>
      <c r="G27" s="12"/>
      <c r="I27" s="19"/>
      <c r="J27" s="1"/>
      <c r="L27" s="49"/>
      <c r="M27" s="7"/>
      <c r="N27" s="8"/>
      <c r="O27" s="8"/>
      <c r="P27" s="8"/>
      <c r="Q27" s="18"/>
      <c r="R27" s="24"/>
      <c r="S27" s="30"/>
      <c r="T27" s="25">
        <f>Tabla146281012[[#This Row],[TOTAL]]/1.19</f>
        <v>0</v>
      </c>
      <c r="U27" s="27">
        <f>Tabla146281012[[#This Row],[NETO]]*2%</f>
        <v>0</v>
      </c>
    </row>
    <row r="28" spans="1:21" x14ac:dyDescent="0.3">
      <c r="A28" s="6"/>
      <c r="B28" s="16"/>
      <c r="F28" s="21"/>
      <c r="G28" s="12"/>
      <c r="I28" s="19"/>
      <c r="J28" s="1"/>
      <c r="M28" s="7"/>
      <c r="N28" s="8"/>
      <c r="O28" s="8"/>
      <c r="P28" s="8"/>
      <c r="Q28" s="18"/>
      <c r="R28" s="24"/>
      <c r="S28" s="30"/>
      <c r="T28" s="25">
        <f>Tabla146281012[[#This Row],[TOTAL]]/1.19</f>
        <v>0</v>
      </c>
      <c r="U28" s="27">
        <f>Tabla146281012[[#This Row],[NETO]]*2%</f>
        <v>0</v>
      </c>
    </row>
    <row r="29" spans="1:21" x14ac:dyDescent="0.3">
      <c r="A29" s="6"/>
      <c r="B29" s="16"/>
      <c r="F29" s="41"/>
      <c r="G29" s="12"/>
      <c r="I29" s="19"/>
      <c r="J29" s="1"/>
      <c r="M29" s="7"/>
      <c r="N29" s="8"/>
      <c r="O29" s="8"/>
      <c r="P29" s="8"/>
      <c r="Q29" s="18"/>
      <c r="R29" s="24"/>
      <c r="S29" s="30"/>
      <c r="T29" s="25">
        <f>Tabla146281012[[#This Row],[TOTAL]]/1.19</f>
        <v>0</v>
      </c>
      <c r="U29" s="27">
        <f>Tabla146281012[[#This Row],[NETO]]*2%</f>
        <v>0</v>
      </c>
    </row>
    <row r="30" spans="1:21" x14ac:dyDescent="0.3">
      <c r="A30" s="6"/>
      <c r="B30" s="16"/>
      <c r="F30" s="21"/>
      <c r="G30" s="12"/>
      <c r="I30" s="19"/>
      <c r="J30" s="1"/>
      <c r="M30" s="7"/>
      <c r="N30" s="8"/>
      <c r="O30" s="8"/>
      <c r="P30" s="8"/>
      <c r="Q30" s="18"/>
      <c r="R30" s="24"/>
      <c r="S30" s="30"/>
      <c r="T30" s="25">
        <f>Tabla146281012[[#This Row],[TOTAL]]/1.19</f>
        <v>0</v>
      </c>
      <c r="U30" s="27">
        <f>Tabla146281012[[#This Row],[NETO]]*2%</f>
        <v>0</v>
      </c>
    </row>
    <row r="31" spans="1:21" x14ac:dyDescent="0.3">
      <c r="A31" s="6"/>
      <c r="B31" s="16"/>
      <c r="M31" s="7"/>
      <c r="N31" s="8"/>
      <c r="O31" s="8"/>
      <c r="P31" s="8"/>
      <c r="Q31" s="18"/>
      <c r="R31" s="24"/>
      <c r="S31" s="30"/>
      <c r="T31" s="25">
        <f>Tabla146281012[[#This Row],[TOTAL]]/1.19</f>
        <v>0</v>
      </c>
      <c r="U31" s="27">
        <f>Tabla146281012[[#This Row],[NETO]]*2%</f>
        <v>0</v>
      </c>
    </row>
    <row r="32" spans="1:21" x14ac:dyDescent="0.3">
      <c r="A32" s="6"/>
      <c r="B32" s="16"/>
      <c r="F32" s="21"/>
      <c r="G32" s="12"/>
      <c r="I32" s="19"/>
      <c r="J32" s="1"/>
      <c r="M32" s="7"/>
      <c r="N32" s="8"/>
      <c r="O32" s="8"/>
      <c r="P32" s="8"/>
      <c r="Q32" s="2"/>
      <c r="R32" s="24"/>
      <c r="S32" s="30"/>
      <c r="T32" s="25">
        <f>Tabla146281012[[#This Row],[TOTAL]]/1.19</f>
        <v>0</v>
      </c>
      <c r="U32" s="27">
        <f>Tabla146281012[[#This Row],[NETO]]*2%</f>
        <v>0</v>
      </c>
    </row>
    <row r="33" spans="1:21" x14ac:dyDescent="0.3">
      <c r="A33" s="6"/>
      <c r="B33" s="16"/>
      <c r="F33" s="21"/>
      <c r="G33" s="12"/>
      <c r="H33" s="12"/>
      <c r="I33" s="12"/>
      <c r="J33" s="12"/>
      <c r="K33" s="12"/>
      <c r="L33" s="12"/>
      <c r="M33" s="7"/>
      <c r="N33" s="8"/>
      <c r="O33" s="8"/>
      <c r="P33" s="8"/>
      <c r="Q33" s="12"/>
      <c r="R33" s="24"/>
      <c r="S33" s="30"/>
      <c r="T33" s="25">
        <f>Tabla146281012[[#This Row],[TOTAL]]/1.19</f>
        <v>0</v>
      </c>
      <c r="U33" s="27">
        <f>Tabla146281012[[#This Row],[NETO]]*2%</f>
        <v>0</v>
      </c>
    </row>
    <row r="34" spans="1:21" x14ac:dyDescent="0.3">
      <c r="A34" s="6"/>
      <c r="B34" s="16"/>
      <c r="F34" s="21"/>
      <c r="G34" s="12"/>
      <c r="I34" s="19"/>
      <c r="J34" s="1"/>
      <c r="M34" s="7"/>
      <c r="N34" s="8"/>
      <c r="O34" s="8"/>
      <c r="P34" s="8"/>
      <c r="Q34" s="18"/>
      <c r="R34" s="24"/>
      <c r="S34" s="30"/>
      <c r="T34" s="25">
        <f>Tabla146281012[[#This Row],[TOTAL]]/1.19</f>
        <v>0</v>
      </c>
      <c r="U34" s="27">
        <f>Tabla146281012[[#This Row],[NETO]]*2%</f>
        <v>0</v>
      </c>
    </row>
    <row r="35" spans="1:21" x14ac:dyDescent="0.3">
      <c r="A35" s="6"/>
      <c r="B35" s="16"/>
      <c r="F35" s="21"/>
      <c r="G35" s="12"/>
      <c r="I35" s="19"/>
      <c r="J35" s="1"/>
      <c r="M35" s="7"/>
      <c r="N35" s="8"/>
      <c r="O35" s="8"/>
      <c r="P35" s="8"/>
      <c r="Q35" s="18"/>
      <c r="R35" s="24"/>
      <c r="S35" s="30"/>
      <c r="T35" s="25">
        <f>Tabla146281012[[#This Row],[TOTAL]]/1.19</f>
        <v>0</v>
      </c>
      <c r="U35" s="27">
        <f>Tabla146281012[[#This Row],[NETO]]*2%</f>
        <v>0</v>
      </c>
    </row>
    <row r="36" spans="1:21" x14ac:dyDescent="0.3">
      <c r="A36" s="6"/>
      <c r="B36" s="16"/>
      <c r="F36" s="21"/>
      <c r="G36" s="12"/>
      <c r="I36" s="19"/>
      <c r="J36" s="1"/>
      <c r="M36" s="7"/>
      <c r="N36" s="8"/>
      <c r="O36" s="8"/>
      <c r="P36" s="8"/>
      <c r="Q36" s="18"/>
      <c r="R36" s="24"/>
      <c r="S36" s="30"/>
      <c r="T36" s="25">
        <f>Tabla146281012[[#This Row],[TOTAL]]/1.19</f>
        <v>0</v>
      </c>
      <c r="U36" s="27">
        <f>Tabla146281012[[#This Row],[NETO]]*2%</f>
        <v>0</v>
      </c>
    </row>
    <row r="37" spans="1:21" x14ac:dyDescent="0.3">
      <c r="A37" s="6"/>
      <c r="B37" s="16"/>
      <c r="F37" s="21"/>
      <c r="G37" s="12"/>
      <c r="I37" s="19"/>
      <c r="J37" s="1"/>
      <c r="M37" s="7"/>
      <c r="N37" s="8"/>
      <c r="O37" s="8"/>
      <c r="P37" s="8"/>
      <c r="Q37" s="18"/>
      <c r="R37" s="24"/>
      <c r="S37" s="30"/>
      <c r="T37" s="25">
        <f>Tabla146281012[[#This Row],[TOTAL]]/1.19</f>
        <v>0</v>
      </c>
      <c r="U37" s="27">
        <f>Tabla146281012[[#This Row],[NETO]]*2%</f>
        <v>0</v>
      </c>
    </row>
    <row r="38" spans="1:21" x14ac:dyDescent="0.3">
      <c r="A38" s="6"/>
      <c r="B38" s="16"/>
      <c r="F38" s="21"/>
      <c r="G38" s="12"/>
      <c r="I38" s="19"/>
      <c r="J38" s="1"/>
      <c r="M38" s="7"/>
      <c r="N38" s="8"/>
      <c r="O38" s="8"/>
      <c r="P38" s="8"/>
      <c r="Q38" s="18"/>
      <c r="R38" s="24"/>
      <c r="S38" s="30"/>
      <c r="T38" s="25">
        <f>Tabla146281012[[#This Row],[TOTAL]]/1.19</f>
        <v>0</v>
      </c>
      <c r="U38" s="27">
        <f>Tabla146281012[[#This Row],[NETO]]*2%</f>
        <v>0</v>
      </c>
    </row>
    <row r="39" spans="1:21" x14ac:dyDescent="0.3">
      <c r="A39" s="6"/>
      <c r="B39" s="16"/>
      <c r="F39" s="21"/>
      <c r="G39" s="12"/>
      <c r="I39" s="19"/>
      <c r="J39" s="1"/>
      <c r="M39" s="7"/>
      <c r="N39" s="8"/>
      <c r="O39" s="8"/>
      <c r="P39" s="8"/>
      <c r="Q39" s="18"/>
      <c r="R39" s="24"/>
      <c r="S39" s="30"/>
      <c r="T39" s="25">
        <f>Tabla146281012[[#This Row],[TOTAL]]/1.19</f>
        <v>0</v>
      </c>
      <c r="U39" s="27">
        <f>Tabla146281012[[#This Row],[NETO]]*2%</f>
        <v>0</v>
      </c>
    </row>
    <row r="40" spans="1:21" x14ac:dyDescent="0.3">
      <c r="A40" s="6"/>
      <c r="B40" s="16"/>
      <c r="F40" s="21"/>
      <c r="G40" s="12"/>
      <c r="I40" s="19"/>
      <c r="J40" s="1"/>
      <c r="M40" s="7"/>
      <c r="N40" s="8"/>
      <c r="O40" s="8"/>
      <c r="P40" s="8"/>
      <c r="Q40" s="18"/>
      <c r="R40" s="24"/>
      <c r="S40" s="30"/>
      <c r="T40" s="25">
        <f>Tabla146281012[[#This Row],[TOTAL]]/1.19</f>
        <v>0</v>
      </c>
      <c r="U40" s="27">
        <f>Tabla146281012[[#This Row],[NETO]]*2%</f>
        <v>0</v>
      </c>
    </row>
    <row r="41" spans="1:21" x14ac:dyDescent="0.3">
      <c r="A41" s="6"/>
      <c r="B41" s="16"/>
      <c r="F41" s="34"/>
      <c r="G41" s="12"/>
      <c r="I41" s="19"/>
      <c r="J41" s="1"/>
      <c r="M41" s="7"/>
      <c r="N41" s="8"/>
      <c r="O41" s="8"/>
      <c r="P41" s="8"/>
      <c r="Q41" s="18"/>
      <c r="R41" s="24"/>
      <c r="S41" s="30"/>
      <c r="T41" s="25">
        <f>Tabla146281012[[#This Row],[TOTAL]]/1.19</f>
        <v>0</v>
      </c>
      <c r="U41" s="27">
        <f>Tabla146281012[[#This Row],[NETO]]*2%</f>
        <v>0</v>
      </c>
    </row>
    <row r="42" spans="1:21" x14ac:dyDescent="0.3">
      <c r="A42" s="6"/>
      <c r="B42" s="16"/>
      <c r="F42" s="21"/>
      <c r="G42" s="12"/>
      <c r="I42" s="19"/>
      <c r="J42" s="1"/>
      <c r="M42" s="7"/>
      <c r="N42" s="8"/>
      <c r="O42" s="8"/>
      <c r="P42" s="8"/>
      <c r="Q42" s="18"/>
      <c r="R42" s="24"/>
      <c r="S42" s="30"/>
      <c r="T42" s="25">
        <f>Tabla146281012[[#This Row],[TOTAL]]/1.19</f>
        <v>0</v>
      </c>
      <c r="U42" s="27">
        <f>Tabla146281012[[#This Row],[NETO]]*2%</f>
        <v>0</v>
      </c>
    </row>
    <row r="43" spans="1:21" x14ac:dyDescent="0.3">
      <c r="A43" s="6"/>
      <c r="B43" s="16"/>
      <c r="F43" s="21"/>
      <c r="G43" s="12"/>
      <c r="I43" s="19"/>
      <c r="J43" s="1"/>
      <c r="M43" s="7"/>
      <c r="N43" s="8"/>
      <c r="O43" s="8"/>
      <c r="P43" s="8"/>
      <c r="Q43" s="18"/>
      <c r="R43" s="24"/>
      <c r="S43" s="30"/>
      <c r="T43" s="25">
        <f>Tabla146281012[[#This Row],[TOTAL]]/1.19</f>
        <v>0</v>
      </c>
      <c r="U43" s="27">
        <f>Tabla146281012[[#This Row],[NETO]]*2%</f>
        <v>0</v>
      </c>
    </row>
    <row r="44" spans="1:21" x14ac:dyDescent="0.3">
      <c r="A44" s="6"/>
      <c r="B44" s="16"/>
      <c r="F44" s="34"/>
      <c r="G44" s="12"/>
      <c r="I44" s="19"/>
      <c r="J44" s="1"/>
      <c r="M44" s="7"/>
      <c r="N44" s="8"/>
      <c r="O44" s="8"/>
      <c r="P44" s="8"/>
      <c r="Q44" s="18"/>
      <c r="R44" s="24"/>
      <c r="S44" s="30"/>
      <c r="T44" s="25">
        <f>Tabla146281012[[#This Row],[TOTAL]]/1.19</f>
        <v>0</v>
      </c>
      <c r="U44" s="27">
        <f>Tabla146281012[[#This Row],[NETO]]*2%</f>
        <v>0</v>
      </c>
    </row>
    <row r="45" spans="1:21" x14ac:dyDescent="0.3">
      <c r="A45" s="6"/>
      <c r="B45" s="16"/>
      <c r="F45" s="21"/>
      <c r="G45" s="12"/>
      <c r="I45" s="19"/>
      <c r="J45" s="1"/>
      <c r="M45" s="7"/>
      <c r="N45" s="8"/>
      <c r="O45" s="8"/>
      <c r="P45" s="8"/>
      <c r="Q45" s="18"/>
      <c r="R45" s="24"/>
      <c r="S45" s="30"/>
      <c r="T45" s="25">
        <f>Tabla146281012[[#This Row],[TOTAL]]/1.19</f>
        <v>0</v>
      </c>
      <c r="U45" s="27">
        <f>Tabla146281012[[#This Row],[NETO]]*2%</f>
        <v>0</v>
      </c>
    </row>
    <row r="46" spans="1:21" x14ac:dyDescent="0.3">
      <c r="A46" s="6"/>
      <c r="B46" s="16"/>
      <c r="F46" s="21"/>
      <c r="G46" s="12"/>
      <c r="I46" s="19"/>
      <c r="J46" s="1"/>
      <c r="M46" s="7"/>
      <c r="N46" s="8"/>
      <c r="O46" s="8"/>
      <c r="P46" s="8"/>
      <c r="Q46" s="18"/>
      <c r="R46" s="24"/>
      <c r="S46" s="30"/>
      <c r="T46" s="25">
        <f>Tabla146281012[[#This Row],[TOTAL]]/1.19</f>
        <v>0</v>
      </c>
      <c r="U46" s="27">
        <f>Tabla146281012[[#This Row],[NETO]]*2%</f>
        <v>0</v>
      </c>
    </row>
    <row r="47" spans="1:21" x14ac:dyDescent="0.3">
      <c r="A47" s="6"/>
      <c r="B47" s="16"/>
      <c r="F47" s="21"/>
      <c r="G47" s="12"/>
      <c r="I47" s="19"/>
      <c r="J47" s="1"/>
      <c r="M47" s="7"/>
      <c r="N47" s="8"/>
      <c r="O47" s="8"/>
      <c r="P47" s="8"/>
      <c r="Q47" s="18"/>
      <c r="R47" s="24"/>
      <c r="S47" s="30"/>
      <c r="T47" s="25">
        <f>Tabla146281012[[#This Row],[TOTAL]]/1.19</f>
        <v>0</v>
      </c>
      <c r="U47" s="27">
        <f>Tabla146281012[[#This Row],[NETO]]*2%</f>
        <v>0</v>
      </c>
    </row>
    <row r="48" spans="1:21" x14ac:dyDescent="0.3">
      <c r="A48" s="6"/>
      <c r="B48" s="16"/>
      <c r="F48" s="21"/>
      <c r="G48" s="12"/>
      <c r="I48" s="19"/>
      <c r="J48" s="1"/>
      <c r="M48" s="7"/>
      <c r="N48" s="8"/>
      <c r="O48" s="8"/>
      <c r="P48" s="8"/>
      <c r="Q48" s="18"/>
      <c r="R48" s="24"/>
      <c r="S48" s="30"/>
      <c r="T48" s="25">
        <f>S48/1.19</f>
        <v>0</v>
      </c>
      <c r="U48" s="27">
        <f>Tabla146281012[[#This Row],[NETO]]*2%</f>
        <v>0</v>
      </c>
    </row>
    <row r="49" spans="1:21" x14ac:dyDescent="0.3">
      <c r="A49" s="6"/>
      <c r="B49" s="16"/>
      <c r="F49" s="21"/>
      <c r="G49" s="12"/>
      <c r="I49" s="19"/>
      <c r="J49" s="1"/>
      <c r="M49" s="7"/>
      <c r="N49" s="8"/>
      <c r="O49" s="8"/>
      <c r="P49" s="8"/>
      <c r="Q49" s="18"/>
      <c r="R49" s="24"/>
      <c r="S49" s="30"/>
      <c r="T49" s="25">
        <f>S49/1.19</f>
        <v>0</v>
      </c>
      <c r="U49" s="27">
        <f>Tabla146281012[[#This Row],[NETO]]*2%</f>
        <v>0</v>
      </c>
    </row>
    <row r="50" spans="1:21" x14ac:dyDescent="0.3">
      <c r="A50" s="6"/>
      <c r="B50" s="16"/>
      <c r="F50" s="21"/>
      <c r="J50" s="1"/>
      <c r="M50" s="7"/>
      <c r="N50" s="8"/>
      <c r="O50" s="8"/>
      <c r="P50" s="8"/>
      <c r="Q50" s="18"/>
      <c r="R50" s="24"/>
      <c r="S50" s="30"/>
      <c r="T50" s="25">
        <f>S50/1.19</f>
        <v>0</v>
      </c>
      <c r="U50" s="27">
        <f>Tabla146281012[[#This Row],[NETO]]*2%</f>
        <v>0</v>
      </c>
    </row>
    <row r="51" spans="1:21" x14ac:dyDescent="0.3">
      <c r="A51" s="6"/>
      <c r="B51" s="16"/>
      <c r="F51" s="21"/>
      <c r="J51" s="1"/>
      <c r="M51" s="7"/>
      <c r="N51" s="8"/>
      <c r="O51" s="8"/>
      <c r="P51" s="8"/>
      <c r="Q51" s="18"/>
      <c r="R51" s="24"/>
      <c r="S51" s="30"/>
      <c r="T51" s="25">
        <f>S51/1.19</f>
        <v>0</v>
      </c>
      <c r="U51" s="27">
        <f>Tabla146281012[[#This Row],[NETO]]*2%</f>
        <v>0</v>
      </c>
    </row>
    <row r="52" spans="1:21" x14ac:dyDescent="0.3">
      <c r="A52" s="6"/>
      <c r="B52" s="16"/>
      <c r="F52" s="21"/>
      <c r="J52" s="1"/>
      <c r="M52" s="7"/>
      <c r="N52" s="8"/>
      <c r="O52" s="8"/>
      <c r="P52" s="8"/>
      <c r="Q52" s="18"/>
      <c r="R52" s="24"/>
      <c r="S52" s="30"/>
      <c r="T52" s="25">
        <f>S52/1.19</f>
        <v>0</v>
      </c>
      <c r="U52" s="27">
        <f>Tabla146281012[[#This Row],[NETO]]*2%</f>
        <v>0</v>
      </c>
    </row>
    <row r="53" spans="1:21" x14ac:dyDescent="0.3">
      <c r="A53" s="6"/>
      <c r="B53" s="16"/>
      <c r="F53" s="21"/>
      <c r="J53" s="1"/>
      <c r="M53" s="7"/>
      <c r="N53" s="8"/>
      <c r="O53" s="8"/>
      <c r="P53" s="8"/>
      <c r="Q53" s="18"/>
      <c r="R53" s="24"/>
      <c r="S53" s="30"/>
      <c r="T53" s="25">
        <f t="shared" ref="T53:T60" si="0">S53/1.19</f>
        <v>0</v>
      </c>
      <c r="U53" s="27">
        <f>Tabla146281012[[#This Row],[NETO]]*2%</f>
        <v>0</v>
      </c>
    </row>
    <row r="54" spans="1:21" x14ac:dyDescent="0.3">
      <c r="A54" s="6"/>
      <c r="B54" s="16"/>
      <c r="F54" s="21"/>
      <c r="J54" s="1"/>
      <c r="M54" s="7"/>
      <c r="N54" s="8"/>
      <c r="O54" s="8"/>
      <c r="P54" s="8"/>
      <c r="Q54" s="18"/>
      <c r="R54" s="24"/>
      <c r="S54" s="30"/>
      <c r="T54" s="25">
        <f t="shared" si="0"/>
        <v>0</v>
      </c>
      <c r="U54" s="27">
        <f>Tabla146281012[[#This Row],[NETO]]*2%</f>
        <v>0</v>
      </c>
    </row>
    <row r="55" spans="1:21" x14ac:dyDescent="0.3">
      <c r="A55" s="6"/>
      <c r="B55" s="16"/>
      <c r="F55" s="21"/>
      <c r="G55" s="12"/>
      <c r="I55" s="19"/>
      <c r="J55" s="1"/>
      <c r="M55" s="7"/>
      <c r="N55" s="8"/>
      <c r="O55" s="8"/>
      <c r="P55" s="8"/>
      <c r="Q55" s="18"/>
      <c r="R55" s="24"/>
      <c r="S55" s="30"/>
      <c r="T55" s="25">
        <f t="shared" si="0"/>
        <v>0</v>
      </c>
      <c r="U55" s="27">
        <f>Tabla146281012[[#This Row],[NETO]]*2%</f>
        <v>0</v>
      </c>
    </row>
    <row r="56" spans="1:21" x14ac:dyDescent="0.3">
      <c r="A56" s="6"/>
      <c r="B56" s="16"/>
      <c r="F56" s="21"/>
      <c r="G56" s="12"/>
      <c r="I56" s="19"/>
      <c r="J56" s="1"/>
      <c r="M56" s="7"/>
      <c r="N56" s="8"/>
      <c r="O56" s="8"/>
      <c r="P56" s="8"/>
      <c r="Q56" s="18"/>
      <c r="R56" s="24"/>
      <c r="S56" s="30"/>
      <c r="T56" s="25">
        <f t="shared" si="0"/>
        <v>0</v>
      </c>
      <c r="U56" s="27">
        <f>Tabla146281012[[#This Row],[NETO]]*2%</f>
        <v>0</v>
      </c>
    </row>
    <row r="57" spans="1:21" x14ac:dyDescent="0.3">
      <c r="A57" s="6"/>
      <c r="B57" s="16"/>
      <c r="F57" s="21"/>
      <c r="G57" s="12"/>
      <c r="I57" s="19"/>
      <c r="J57" s="1"/>
      <c r="M57" s="7"/>
      <c r="N57" s="8"/>
      <c r="O57" s="8"/>
      <c r="P57" s="8"/>
      <c r="Q57" s="18"/>
      <c r="R57" s="24"/>
      <c r="S57" s="30"/>
      <c r="T57" s="25">
        <f t="shared" si="0"/>
        <v>0</v>
      </c>
      <c r="U57" s="27">
        <f>Tabla146281012[[#This Row],[NETO]]*2%</f>
        <v>0</v>
      </c>
    </row>
    <row r="58" spans="1:21" x14ac:dyDescent="0.3">
      <c r="A58" s="6"/>
      <c r="B58" s="16"/>
      <c r="F58" s="21"/>
      <c r="G58" s="12"/>
      <c r="I58" s="19"/>
      <c r="J58" s="1"/>
      <c r="M58" s="7"/>
      <c r="N58" s="8"/>
      <c r="O58" s="8"/>
      <c r="P58" s="8"/>
      <c r="Q58" s="18"/>
      <c r="R58" s="24"/>
      <c r="S58" s="30"/>
      <c r="T58" s="25">
        <f t="shared" si="0"/>
        <v>0</v>
      </c>
      <c r="U58" s="27">
        <f>Tabla146281012[[#This Row],[NETO]]*2%</f>
        <v>0</v>
      </c>
    </row>
    <row r="59" spans="1:21" x14ac:dyDescent="0.3">
      <c r="A59" s="6"/>
      <c r="B59" s="16"/>
      <c r="F59" s="21"/>
      <c r="G59" s="12"/>
      <c r="I59" s="19"/>
      <c r="J59" s="1"/>
      <c r="M59" s="7"/>
      <c r="N59" s="8"/>
      <c r="O59" s="8"/>
      <c r="P59" s="8"/>
      <c r="Q59" s="18"/>
      <c r="R59" s="24"/>
      <c r="S59" s="30"/>
      <c r="T59" s="25">
        <f t="shared" si="0"/>
        <v>0</v>
      </c>
      <c r="U59" s="27">
        <f>Tabla146281012[[#This Row],[NETO]]*2%</f>
        <v>0</v>
      </c>
    </row>
    <row r="60" spans="1:21" x14ac:dyDescent="0.3">
      <c r="A60" s="6"/>
      <c r="B60" s="16"/>
      <c r="F60" s="21"/>
      <c r="G60" s="12"/>
      <c r="I60" s="19"/>
      <c r="J60" s="1"/>
      <c r="M60" s="7"/>
      <c r="N60" s="8"/>
      <c r="O60" s="8"/>
      <c r="P60" s="8"/>
      <c r="Q60" s="18"/>
      <c r="R60" s="24"/>
      <c r="S60" s="30"/>
      <c r="T60" s="25">
        <f t="shared" si="0"/>
        <v>0</v>
      </c>
      <c r="U60" s="27">
        <f>Tabla146281012[[#This Row],[NETO]]*2%</f>
        <v>0</v>
      </c>
    </row>
    <row r="61" spans="1:21" x14ac:dyDescent="0.3">
      <c r="A61" s="6"/>
      <c r="B61" s="16"/>
      <c r="F61" s="21"/>
      <c r="G61" s="12"/>
      <c r="I61" s="19"/>
      <c r="J61" s="1"/>
      <c r="M61" s="7"/>
      <c r="N61" s="8"/>
      <c r="O61" s="8"/>
      <c r="P61" s="8"/>
      <c r="Q61" s="18"/>
      <c r="R61" s="24"/>
      <c r="S61" s="30"/>
      <c r="T61" s="25">
        <f t="shared" ref="T61:T71" si="1">S61/1.19</f>
        <v>0</v>
      </c>
      <c r="U61" s="27">
        <f>Tabla146281012[[#This Row],[NETO]]*2%</f>
        <v>0</v>
      </c>
    </row>
    <row r="62" spans="1:21" x14ac:dyDescent="0.3">
      <c r="A62" s="6"/>
      <c r="B62" s="16"/>
      <c r="F62" s="21"/>
      <c r="G62" s="12"/>
      <c r="H62" s="49"/>
      <c r="I62" s="19"/>
      <c r="J62" s="1"/>
      <c r="M62" s="7"/>
      <c r="N62" s="8"/>
      <c r="O62" s="8"/>
      <c r="P62" s="8"/>
      <c r="Q62" s="18"/>
      <c r="R62" s="24"/>
      <c r="S62" s="30"/>
      <c r="T62" s="25">
        <f t="shared" si="1"/>
        <v>0</v>
      </c>
      <c r="U62" s="27">
        <f>Tabla146281012[[#This Row],[NETO]]*2%</f>
        <v>0</v>
      </c>
    </row>
    <row r="63" spans="1:21" x14ac:dyDescent="0.3">
      <c r="A63" s="6"/>
      <c r="B63" s="16"/>
      <c r="F63" s="21"/>
      <c r="G63" s="12"/>
      <c r="I63" s="19"/>
      <c r="J63" s="1"/>
      <c r="M63" s="7"/>
      <c r="N63" s="8"/>
      <c r="O63" s="8"/>
      <c r="P63" s="8"/>
      <c r="Q63" s="18"/>
      <c r="R63" s="24"/>
      <c r="S63" s="30"/>
      <c r="T63" s="25">
        <f t="shared" si="1"/>
        <v>0</v>
      </c>
      <c r="U63" s="27">
        <f>Tabla146281012[[#This Row],[NETO]]*2%</f>
        <v>0</v>
      </c>
    </row>
    <row r="64" spans="1:21" x14ac:dyDescent="0.3">
      <c r="A64" s="6"/>
      <c r="B64" s="16"/>
      <c r="F64" s="21"/>
      <c r="G64" s="12"/>
      <c r="I64" s="19"/>
      <c r="J64" s="1"/>
      <c r="M64" s="7"/>
      <c r="N64" s="8"/>
      <c r="O64" s="8"/>
      <c r="P64" s="8"/>
      <c r="Q64" s="18"/>
      <c r="R64" s="24"/>
      <c r="S64" s="30"/>
      <c r="T64" s="25">
        <f t="shared" si="1"/>
        <v>0</v>
      </c>
      <c r="U64" s="27">
        <f>Tabla146281012[[#This Row],[NETO]]*2%</f>
        <v>0</v>
      </c>
    </row>
    <row r="65" spans="1:22" x14ac:dyDescent="0.3">
      <c r="A65" s="6"/>
      <c r="B65" s="16"/>
      <c r="F65" s="21"/>
      <c r="G65" s="12"/>
      <c r="I65" s="19"/>
      <c r="J65" s="1"/>
      <c r="M65" s="7"/>
      <c r="N65" s="8"/>
      <c r="O65" s="8"/>
      <c r="P65" s="8"/>
      <c r="Q65" s="18"/>
      <c r="R65" s="24"/>
      <c r="S65" s="30"/>
      <c r="T65" s="25">
        <f t="shared" si="1"/>
        <v>0</v>
      </c>
      <c r="U65" s="27">
        <f>Tabla146281012[[#This Row],[NETO]]*2%</f>
        <v>0</v>
      </c>
    </row>
    <row r="66" spans="1:22" x14ac:dyDescent="0.3">
      <c r="A66" s="6"/>
      <c r="B66" s="16"/>
      <c r="F66" s="21"/>
      <c r="G66" s="12"/>
      <c r="I66" s="19"/>
      <c r="J66" s="1"/>
      <c r="M66" s="7"/>
      <c r="N66" s="8"/>
      <c r="O66" s="8"/>
      <c r="P66" s="8"/>
      <c r="Q66" s="18"/>
      <c r="R66" s="24"/>
      <c r="S66" s="30"/>
      <c r="T66" s="25">
        <f t="shared" si="1"/>
        <v>0</v>
      </c>
      <c r="U66" s="27">
        <f>Tabla146281012[[#This Row],[NETO]]*2%</f>
        <v>0</v>
      </c>
    </row>
    <row r="67" spans="1:22" x14ac:dyDescent="0.3">
      <c r="A67" s="6"/>
      <c r="B67" s="16"/>
      <c r="F67" s="21"/>
      <c r="G67" s="12"/>
      <c r="I67" s="19"/>
      <c r="J67" s="1"/>
      <c r="M67" s="7"/>
      <c r="N67" s="8"/>
      <c r="O67" s="8"/>
      <c r="P67" s="8"/>
      <c r="Q67" s="18"/>
      <c r="R67" s="24"/>
      <c r="S67" s="30"/>
      <c r="T67" s="25">
        <f t="shared" si="1"/>
        <v>0</v>
      </c>
      <c r="U67" s="27">
        <f>Tabla146281012[[#This Row],[NETO]]*2%</f>
        <v>0</v>
      </c>
    </row>
    <row r="68" spans="1:22" x14ac:dyDescent="0.3">
      <c r="A68" s="6"/>
      <c r="B68" s="16"/>
      <c r="F68" s="21"/>
      <c r="G68" s="12"/>
      <c r="I68" s="19"/>
      <c r="J68" s="1"/>
      <c r="M68" s="7"/>
      <c r="N68" s="8"/>
      <c r="O68" s="8"/>
      <c r="P68" s="8"/>
      <c r="Q68" s="18"/>
      <c r="R68" s="24"/>
      <c r="S68" s="30"/>
      <c r="T68" s="25">
        <f t="shared" si="1"/>
        <v>0</v>
      </c>
      <c r="U68" s="27">
        <f>Tabla146281012[[#This Row],[NETO]]*2%</f>
        <v>0</v>
      </c>
    </row>
    <row r="69" spans="1:22" x14ac:dyDescent="0.3">
      <c r="A69" s="6"/>
      <c r="B69" s="16"/>
      <c r="F69" s="34"/>
      <c r="G69" s="12"/>
      <c r="I69" s="19"/>
      <c r="J69" s="1"/>
      <c r="M69" s="7"/>
      <c r="N69" s="8"/>
      <c r="O69" s="8"/>
      <c r="P69" s="8"/>
      <c r="Q69" s="18"/>
      <c r="R69" s="24"/>
      <c r="S69" s="30"/>
      <c r="T69" s="25">
        <f t="shared" si="1"/>
        <v>0</v>
      </c>
      <c r="U69" s="27">
        <f>Tabla146281012[[#This Row],[NETO]]*2%</f>
        <v>0</v>
      </c>
    </row>
    <row r="70" spans="1:22" x14ac:dyDescent="0.3">
      <c r="A70" s="6"/>
      <c r="B70" s="16"/>
      <c r="F70" s="21"/>
      <c r="G70" s="12"/>
      <c r="I70" s="19"/>
      <c r="J70" s="1"/>
      <c r="M70" s="7"/>
      <c r="N70" s="8"/>
      <c r="O70" s="8"/>
      <c r="P70" s="8"/>
      <c r="Q70" s="18"/>
      <c r="R70" s="24"/>
      <c r="S70" s="30"/>
      <c r="T70" s="25">
        <f t="shared" si="1"/>
        <v>0</v>
      </c>
      <c r="U70" s="27">
        <f>Tabla146281012[[#This Row],[NETO]]*2%</f>
        <v>0</v>
      </c>
    </row>
    <row r="71" spans="1:22" x14ac:dyDescent="0.3">
      <c r="A71" s="6"/>
      <c r="B71" s="16"/>
      <c r="F71" s="21"/>
      <c r="G71" s="12"/>
      <c r="I71" s="19"/>
      <c r="J71" s="1"/>
      <c r="M71" s="7"/>
      <c r="N71" s="8"/>
      <c r="O71" s="8"/>
      <c r="P71" s="8"/>
      <c r="Q71" s="18"/>
      <c r="R71" s="24"/>
      <c r="S71" s="30"/>
      <c r="T71" s="25">
        <f t="shared" si="1"/>
        <v>0</v>
      </c>
      <c r="U71" s="27">
        <f>Tabla146281012[[#This Row],[NETO]]*2%</f>
        <v>0</v>
      </c>
    </row>
    <row r="72" spans="1:22" ht="15" thickBot="1" x14ac:dyDescent="0.35">
      <c r="A72" s="5" t="s">
        <v>18</v>
      </c>
      <c r="B72" s="17">
        <f>COUNT(B3:B68)</f>
        <v>0</v>
      </c>
      <c r="C72" s="4"/>
      <c r="D72" s="4"/>
      <c r="E72" s="4"/>
      <c r="F72" s="22"/>
      <c r="G72" s="13"/>
      <c r="H72" s="14"/>
      <c r="I72" s="20"/>
      <c r="J72" s="23"/>
      <c r="K72" s="14"/>
      <c r="L72" s="14"/>
      <c r="M72" s="9"/>
      <c r="N72" s="10"/>
      <c r="O72" s="10"/>
      <c r="P72" s="10"/>
      <c r="Q72" s="11"/>
      <c r="R72" s="31"/>
      <c r="S72" s="32">
        <f>SUM(S3:S71)</f>
        <v>0</v>
      </c>
      <c r="T72" s="32">
        <f>SUM(T3:T71)</f>
        <v>0</v>
      </c>
      <c r="U72" s="32">
        <f>Tabla146281012[[#This Row],[NETO]]*2%+Z2+Z3</f>
        <v>0</v>
      </c>
    </row>
    <row r="74" spans="1:22" x14ac:dyDescent="0.3">
      <c r="T74" s="40"/>
      <c r="U74" s="39"/>
    </row>
    <row r="75" spans="1:22" x14ac:dyDescent="0.3">
      <c r="T75" s="40"/>
      <c r="U75" s="39"/>
      <c r="V75" s="39"/>
    </row>
    <row r="81" spans="6:19" x14ac:dyDescent="0.3">
      <c r="F81" s="34"/>
    </row>
    <row r="82" spans="6:19" x14ac:dyDescent="0.3">
      <c r="S82" t="s">
        <v>44</v>
      </c>
    </row>
  </sheetData>
  <mergeCells count="5">
    <mergeCell ref="C1:F1"/>
    <mergeCell ref="G1:L1"/>
    <mergeCell ref="M1:Q1"/>
    <mergeCell ref="R1:U1"/>
    <mergeCell ref="AD2:AE2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1AE2-484C-460F-8322-DAB95E3D68AD}">
  <dimension ref="A1:AB62"/>
  <sheetViews>
    <sheetView topLeftCell="A7" workbookViewId="0">
      <selection activeCell="Y2" sqref="W2:Y2"/>
    </sheetView>
  </sheetViews>
  <sheetFormatPr baseColWidth="10" defaultRowHeight="14.4" x14ac:dyDescent="0.3"/>
  <cols>
    <col min="3" max="3" width="20.5546875" bestFit="1" customWidth="1"/>
    <col min="5" max="5" width="12" bestFit="1" customWidth="1"/>
    <col min="13" max="13" width="8.109375" customWidth="1"/>
    <col min="14" max="14" width="7.5546875" customWidth="1"/>
    <col min="15" max="15" width="6.6640625" customWidth="1"/>
    <col min="16" max="16" width="7.88671875" customWidth="1"/>
    <col min="19" max="19" width="15.109375" customWidth="1"/>
    <col min="20" max="20" width="16.33203125" customWidth="1"/>
    <col min="23" max="23" width="12" style="1" customWidth="1"/>
    <col min="24" max="24" width="12" customWidth="1"/>
    <col min="25" max="25" width="12" style="3" customWidth="1"/>
  </cols>
  <sheetData>
    <row r="1" spans="1:25" ht="18" x14ac:dyDescent="0.35">
      <c r="A1" s="2"/>
      <c r="B1" s="15"/>
      <c r="C1" s="131" t="s">
        <v>1</v>
      </c>
      <c r="D1" s="132"/>
      <c r="E1" s="132"/>
      <c r="F1" s="133"/>
      <c r="G1" s="121" t="s">
        <v>6</v>
      </c>
      <c r="H1" s="122"/>
      <c r="I1" s="122"/>
      <c r="J1" s="122"/>
      <c r="K1" s="123"/>
      <c r="L1" s="123"/>
      <c r="M1" s="121" t="s">
        <v>13</v>
      </c>
      <c r="N1" s="122"/>
      <c r="O1" s="122"/>
      <c r="P1" s="122"/>
      <c r="Q1" s="124"/>
      <c r="R1" s="125" t="s">
        <v>24</v>
      </c>
      <c r="S1" s="126"/>
      <c r="T1" s="126"/>
      <c r="U1" s="126"/>
      <c r="W1" s="1" t="s">
        <v>22</v>
      </c>
      <c r="X1" t="s">
        <v>25</v>
      </c>
      <c r="Y1" s="3" t="s">
        <v>19</v>
      </c>
    </row>
    <row r="2" spans="1:25" x14ac:dyDescent="0.3">
      <c r="A2" s="2" t="s">
        <v>0</v>
      </c>
      <c r="B2" s="16" t="s">
        <v>22</v>
      </c>
      <c r="C2" t="s">
        <v>3</v>
      </c>
      <c r="D2" t="s">
        <v>2</v>
      </c>
      <c r="E2" t="s">
        <v>4</v>
      </c>
      <c r="F2" t="s">
        <v>5</v>
      </c>
      <c r="G2" s="12" t="s">
        <v>7</v>
      </c>
      <c r="H2" t="s">
        <v>8</v>
      </c>
      <c r="I2" s="19" t="s">
        <v>10</v>
      </c>
      <c r="J2" s="1" t="s">
        <v>9</v>
      </c>
      <c r="K2" t="s">
        <v>11</v>
      </c>
      <c r="L2" t="s">
        <v>12</v>
      </c>
      <c r="M2" s="7" t="s">
        <v>14</v>
      </c>
      <c r="N2" s="8" t="s">
        <v>15</v>
      </c>
      <c r="O2" s="8" t="s">
        <v>16</v>
      </c>
      <c r="P2" s="8" t="s">
        <v>17</v>
      </c>
      <c r="Q2" s="18" t="s">
        <v>21</v>
      </c>
      <c r="R2" s="24" t="s">
        <v>23</v>
      </c>
      <c r="S2" s="29" t="s">
        <v>18</v>
      </c>
      <c r="T2" s="26" t="s">
        <v>20</v>
      </c>
      <c r="U2" s="28" t="s">
        <v>19</v>
      </c>
    </row>
    <row r="3" spans="1:25" x14ac:dyDescent="0.3">
      <c r="A3" s="6"/>
      <c r="B3" s="16"/>
      <c r="F3" s="21"/>
      <c r="G3" s="12"/>
      <c r="I3" s="36"/>
      <c r="J3" s="1"/>
      <c r="M3" s="7"/>
      <c r="N3" s="8"/>
      <c r="O3" s="8"/>
      <c r="P3" s="8"/>
      <c r="Q3" s="18"/>
      <c r="R3" s="24"/>
      <c r="S3" s="29"/>
      <c r="T3" s="25">
        <f>Tabla14628101214[[#This Row],[TOTAL]]/1.19</f>
        <v>0</v>
      </c>
      <c r="U3" s="27">
        <f>Tabla14628101214[[#This Row],[NETO]]*2%</f>
        <v>0</v>
      </c>
    </row>
    <row r="4" spans="1:25" x14ac:dyDescent="0.3">
      <c r="A4" s="6"/>
      <c r="B4" s="16"/>
      <c r="F4" s="34"/>
      <c r="G4" s="12"/>
      <c r="I4" s="36"/>
      <c r="J4" s="1"/>
      <c r="M4" s="7"/>
      <c r="N4" s="8"/>
      <c r="O4" s="8"/>
      <c r="P4" s="8"/>
      <c r="Q4" s="18"/>
      <c r="R4" s="24"/>
      <c r="S4" s="29"/>
      <c r="T4" s="25">
        <f>Tabla14628101214[[#This Row],[TOTAL]]/1.19</f>
        <v>0</v>
      </c>
      <c r="U4" s="27">
        <f>Tabla14628101214[[#This Row],[NETO]]*2%</f>
        <v>0</v>
      </c>
    </row>
    <row r="5" spans="1:25" x14ac:dyDescent="0.3">
      <c r="A5" s="6"/>
      <c r="B5" s="16"/>
      <c r="F5" s="21"/>
      <c r="G5" s="12"/>
      <c r="I5" s="36"/>
      <c r="J5" s="1"/>
      <c r="M5" s="7"/>
      <c r="N5" s="8"/>
      <c r="O5" s="8"/>
      <c r="P5" s="8"/>
      <c r="Q5" s="18"/>
      <c r="R5" s="24"/>
      <c r="S5" s="29"/>
      <c r="T5" s="25">
        <f>Tabla14628101214[[#This Row],[TOTAL]]/1.19</f>
        <v>0</v>
      </c>
      <c r="U5" s="27">
        <f>Tabla14628101214[[#This Row],[NETO]]*2%</f>
        <v>0</v>
      </c>
    </row>
    <row r="6" spans="1:25" x14ac:dyDescent="0.3">
      <c r="A6" s="6"/>
      <c r="B6" s="16"/>
      <c r="F6" s="21"/>
      <c r="G6" s="12"/>
      <c r="I6" s="36"/>
      <c r="J6" s="1"/>
      <c r="M6" s="7"/>
      <c r="N6" s="8"/>
      <c r="O6" s="8"/>
      <c r="P6" s="8"/>
      <c r="Q6" s="18"/>
      <c r="R6" s="24"/>
      <c r="S6" s="29"/>
      <c r="T6" s="25">
        <f>Tabla14628101214[[#This Row],[TOTAL]]/1.19</f>
        <v>0</v>
      </c>
      <c r="U6" s="27">
        <f>Tabla14628101214[[#This Row],[NETO]]*2%</f>
        <v>0</v>
      </c>
    </row>
    <row r="7" spans="1:25" x14ac:dyDescent="0.3">
      <c r="A7" s="6"/>
      <c r="B7" s="16"/>
      <c r="F7" s="21"/>
      <c r="G7" s="12"/>
      <c r="I7" s="36"/>
      <c r="J7" s="1"/>
      <c r="M7" s="7"/>
      <c r="N7" s="8"/>
      <c r="O7" s="8"/>
      <c r="P7" s="8"/>
      <c r="Q7" s="18"/>
      <c r="R7" s="24"/>
      <c r="S7" s="29"/>
      <c r="T7" s="25">
        <f>Tabla14628101214[[#This Row],[TOTAL]]/1.19</f>
        <v>0</v>
      </c>
      <c r="U7" s="27">
        <f>Tabla14628101214[[#This Row],[NETO]]*2%</f>
        <v>0</v>
      </c>
    </row>
    <row r="8" spans="1:25" x14ac:dyDescent="0.3">
      <c r="A8" s="6"/>
      <c r="B8" s="16"/>
      <c r="F8" s="21"/>
      <c r="G8" s="12"/>
      <c r="I8" s="36"/>
      <c r="J8" s="1"/>
      <c r="M8" s="7"/>
      <c r="N8" s="8"/>
      <c r="O8" s="8"/>
      <c r="P8" s="8"/>
      <c r="Q8" s="18"/>
      <c r="R8" s="24"/>
      <c r="S8" s="29"/>
      <c r="T8" s="25">
        <f>Tabla14628101214[[#This Row],[TOTAL]]/1.19</f>
        <v>0</v>
      </c>
      <c r="U8" s="27">
        <f>Tabla14628101214[[#This Row],[NETO]]*2%</f>
        <v>0</v>
      </c>
    </row>
    <row r="9" spans="1:25" x14ac:dyDescent="0.3">
      <c r="A9" s="6"/>
      <c r="B9" s="16"/>
      <c r="F9" s="21"/>
      <c r="G9" s="12"/>
      <c r="I9" s="36"/>
      <c r="J9" s="1"/>
      <c r="M9" s="7"/>
      <c r="N9" s="8"/>
      <c r="O9" s="8"/>
      <c r="P9" s="8"/>
      <c r="Q9" s="18"/>
      <c r="R9" s="24"/>
      <c r="S9" s="29"/>
      <c r="T9" s="25">
        <f>Tabla14628101214[[#This Row],[TOTAL]]/1.19</f>
        <v>0</v>
      </c>
      <c r="U9" s="27">
        <f>Tabla14628101214[[#This Row],[NETO]]*2%</f>
        <v>0</v>
      </c>
    </row>
    <row r="10" spans="1:25" x14ac:dyDescent="0.3">
      <c r="A10" s="6"/>
      <c r="B10" s="16"/>
      <c r="F10" s="34"/>
      <c r="G10" s="12"/>
      <c r="I10" s="36"/>
      <c r="J10" s="1"/>
      <c r="M10" s="7"/>
      <c r="N10" s="8"/>
      <c r="O10" s="8"/>
      <c r="P10" s="8"/>
      <c r="Q10" s="18"/>
      <c r="R10" s="24"/>
      <c r="S10" s="29"/>
      <c r="T10" s="25">
        <f>Tabla14628101214[[#This Row],[TOTAL]]/1.19</f>
        <v>0</v>
      </c>
      <c r="U10" s="27">
        <f>Tabla14628101214[[#This Row],[NETO]]*2%</f>
        <v>0</v>
      </c>
    </row>
    <row r="11" spans="1:25" x14ac:dyDescent="0.3">
      <c r="A11" s="6"/>
      <c r="B11" s="16"/>
      <c r="F11" s="21"/>
      <c r="G11" s="12"/>
      <c r="I11" s="36"/>
      <c r="J11" s="1"/>
      <c r="M11" s="7"/>
      <c r="N11" s="8"/>
      <c r="O11" s="8"/>
      <c r="P11" s="8"/>
      <c r="Q11" s="18"/>
      <c r="R11" s="24"/>
      <c r="S11" s="29"/>
      <c r="T11" s="25">
        <f>Tabla14628101214[[#This Row],[TOTAL]]/1.19</f>
        <v>0</v>
      </c>
      <c r="U11" s="27">
        <f>Tabla14628101214[[#This Row],[NETO]]*2%</f>
        <v>0</v>
      </c>
    </row>
    <row r="12" spans="1:25" x14ac:dyDescent="0.3">
      <c r="A12" s="6"/>
      <c r="B12" s="16"/>
      <c r="F12" s="34"/>
      <c r="G12" s="12"/>
      <c r="H12" s="12"/>
      <c r="I12" s="37"/>
      <c r="J12" s="47"/>
      <c r="M12" s="7"/>
      <c r="N12" s="8"/>
      <c r="O12" s="8"/>
      <c r="P12" s="8"/>
      <c r="Q12" s="18"/>
      <c r="R12" s="24"/>
      <c r="S12" s="29"/>
      <c r="T12" s="25">
        <f>Tabla14628101214[[#This Row],[TOTAL]]/1.19</f>
        <v>0</v>
      </c>
      <c r="U12" s="27">
        <f>Tabla14628101214[[#This Row],[NETO]]*2%</f>
        <v>0</v>
      </c>
    </row>
    <row r="13" spans="1:25" x14ac:dyDescent="0.3">
      <c r="A13" s="6"/>
      <c r="B13" s="16"/>
      <c r="F13" s="21"/>
      <c r="G13" s="12"/>
      <c r="I13" s="36"/>
      <c r="J13" s="1"/>
      <c r="M13" s="7"/>
      <c r="N13" s="8"/>
      <c r="O13" s="8"/>
      <c r="P13" s="8"/>
      <c r="Q13" s="18"/>
      <c r="R13" s="24"/>
      <c r="S13" s="29"/>
      <c r="T13" s="25">
        <f>Tabla14628101214[[#This Row],[TOTAL]]/1.19</f>
        <v>0</v>
      </c>
      <c r="U13" s="27">
        <f>Tabla14628101214[[#This Row],[NETO]]*2%</f>
        <v>0</v>
      </c>
    </row>
    <row r="14" spans="1:25" s="65" customFormat="1" x14ac:dyDescent="0.3">
      <c r="A14" s="63"/>
      <c r="B14" s="64"/>
      <c r="F14" s="66"/>
      <c r="G14" s="67"/>
      <c r="I14" s="68"/>
      <c r="J14" s="69"/>
      <c r="M14" s="70"/>
      <c r="N14" s="71"/>
      <c r="O14" s="71"/>
      <c r="P14" s="71"/>
      <c r="Q14" s="72"/>
      <c r="R14" s="24"/>
      <c r="S14" s="29"/>
      <c r="T14" s="25">
        <f>Tabla14628101214[[#This Row],[TOTAL]]/1.19</f>
        <v>0</v>
      </c>
      <c r="U14" s="27">
        <f>Tabla14628101214[[#This Row],[NETO]]*2%</f>
        <v>0</v>
      </c>
      <c r="W14" s="69"/>
      <c r="Y14" s="73"/>
    </row>
    <row r="15" spans="1:25" x14ac:dyDescent="0.3">
      <c r="A15" s="6"/>
      <c r="B15" s="16"/>
      <c r="D15" s="49"/>
      <c r="F15" s="34"/>
      <c r="G15" s="12"/>
      <c r="I15" s="36"/>
      <c r="J15" s="1"/>
      <c r="M15" s="7"/>
      <c r="N15" s="8"/>
      <c r="O15" s="8"/>
      <c r="P15" s="8"/>
      <c r="Q15" s="18"/>
      <c r="R15" s="24"/>
      <c r="S15" s="30"/>
      <c r="T15" s="25">
        <f>Tabla14628101214[[#This Row],[TOTAL]]/1.19</f>
        <v>0</v>
      </c>
      <c r="U15" s="27">
        <f>Tabla14628101214[[#This Row],[NETO]]*2%</f>
        <v>0</v>
      </c>
    </row>
    <row r="16" spans="1:25" x14ac:dyDescent="0.3">
      <c r="A16" s="6"/>
      <c r="B16" s="16"/>
      <c r="F16" s="34"/>
      <c r="G16" s="12"/>
      <c r="H16" s="12"/>
      <c r="I16" s="37"/>
      <c r="J16" s="47"/>
      <c r="M16" s="7"/>
      <c r="N16" s="8"/>
      <c r="O16" s="8"/>
      <c r="P16" s="8"/>
      <c r="Q16" s="18"/>
      <c r="R16" s="24"/>
      <c r="S16" s="30"/>
      <c r="T16" s="25">
        <f>Tabla14628101214[[#This Row],[TOTAL]]/1.19</f>
        <v>0</v>
      </c>
      <c r="U16" s="27">
        <f>Tabla14628101214[[#This Row],[NETO]]*2%</f>
        <v>0</v>
      </c>
    </row>
    <row r="17" spans="1:21" x14ac:dyDescent="0.3">
      <c r="A17" s="6"/>
      <c r="B17" s="16"/>
      <c r="F17" s="21"/>
      <c r="G17" s="12"/>
      <c r="I17" s="36"/>
      <c r="J17" s="1"/>
      <c r="M17" s="7"/>
      <c r="N17" s="8"/>
      <c r="O17" s="8"/>
      <c r="P17" s="8"/>
      <c r="Q17" s="18"/>
      <c r="R17" s="24"/>
      <c r="S17" s="30"/>
      <c r="T17" s="25">
        <f>Tabla14628101214[[#This Row],[TOTAL]]/1.19</f>
        <v>0</v>
      </c>
      <c r="U17" s="27">
        <f>Tabla14628101214[[#This Row],[NETO]]*2%</f>
        <v>0</v>
      </c>
    </row>
    <row r="18" spans="1:21" x14ac:dyDescent="0.3">
      <c r="A18" s="6"/>
      <c r="B18" s="16"/>
      <c r="F18" s="21"/>
      <c r="G18" s="12"/>
      <c r="I18" s="36"/>
      <c r="J18" s="1"/>
      <c r="M18" s="7"/>
      <c r="N18" s="8"/>
      <c r="O18" s="8"/>
      <c r="P18" s="8"/>
      <c r="Q18" s="18"/>
      <c r="R18" s="24"/>
      <c r="S18" s="30"/>
      <c r="T18" s="25">
        <f>Tabla14628101214[[#This Row],[TOTAL]]/1.19</f>
        <v>0</v>
      </c>
      <c r="U18" s="27">
        <f>Tabla14628101214[[#This Row],[NETO]]*2%</f>
        <v>0</v>
      </c>
    </row>
    <row r="19" spans="1:21" x14ac:dyDescent="0.3">
      <c r="A19" s="6"/>
      <c r="B19" s="16"/>
      <c r="F19" s="21"/>
      <c r="G19" s="12"/>
      <c r="I19" s="19"/>
      <c r="J19" s="1"/>
      <c r="M19" s="7"/>
      <c r="N19" s="8"/>
      <c r="O19" s="8"/>
      <c r="P19" s="8"/>
      <c r="Q19" s="18"/>
      <c r="R19" s="24"/>
      <c r="S19" s="30"/>
      <c r="T19" s="25">
        <f>Tabla14628101214[[#This Row],[TOTAL]]/1.19</f>
        <v>0</v>
      </c>
      <c r="U19" s="27">
        <f>Tabla14628101214[[#This Row],[NETO]]*2%</f>
        <v>0</v>
      </c>
    </row>
    <row r="20" spans="1:21" x14ac:dyDescent="0.3">
      <c r="A20" s="6"/>
      <c r="B20" s="16"/>
      <c r="F20" s="21"/>
      <c r="G20" s="12"/>
      <c r="I20" s="19"/>
      <c r="J20" s="1"/>
      <c r="M20" s="7"/>
      <c r="N20" s="8"/>
      <c r="O20" s="8"/>
      <c r="P20" s="8"/>
      <c r="Q20" s="18"/>
      <c r="R20" s="24"/>
      <c r="S20" s="30"/>
      <c r="T20" s="25">
        <f>Tabla14628101214[[#This Row],[TOTAL]]/1.19</f>
        <v>0</v>
      </c>
      <c r="U20" s="27">
        <f>Tabla14628101214[[#This Row],[NETO]]*2%</f>
        <v>0</v>
      </c>
    </row>
    <row r="21" spans="1:21" x14ac:dyDescent="0.3">
      <c r="A21" s="6"/>
      <c r="B21" s="16"/>
      <c r="F21" s="21"/>
      <c r="G21" s="12"/>
      <c r="I21" s="19"/>
      <c r="J21" s="1"/>
      <c r="M21" s="7"/>
      <c r="N21" s="8"/>
      <c r="O21" s="8"/>
      <c r="P21" s="8"/>
      <c r="Q21" s="18"/>
      <c r="R21" s="24"/>
      <c r="S21" s="30"/>
      <c r="T21" s="25">
        <f>Tabla14628101214[[#This Row],[TOTAL]]/1.19</f>
        <v>0</v>
      </c>
      <c r="U21" s="27">
        <f>Tabla14628101214[[#This Row],[NETO]]*2%</f>
        <v>0</v>
      </c>
    </row>
    <row r="22" spans="1:21" x14ac:dyDescent="0.3">
      <c r="A22" s="6"/>
      <c r="B22" s="16"/>
      <c r="F22" s="21"/>
      <c r="G22" s="12"/>
      <c r="H22" s="49"/>
      <c r="I22" s="19"/>
      <c r="J22" s="1"/>
      <c r="M22" s="7"/>
      <c r="N22" s="8"/>
      <c r="O22" s="8"/>
      <c r="P22" s="8"/>
      <c r="Q22" s="18"/>
      <c r="R22" s="24"/>
      <c r="S22" s="30"/>
      <c r="T22" s="25">
        <f>Tabla14628101214[[#This Row],[TOTAL]]/1.19</f>
        <v>0</v>
      </c>
      <c r="U22" s="27">
        <f>Tabla14628101214[[#This Row],[NETO]]*2%</f>
        <v>0</v>
      </c>
    </row>
    <row r="23" spans="1:21" x14ac:dyDescent="0.3">
      <c r="A23" s="6"/>
      <c r="B23" s="16"/>
      <c r="F23" s="21"/>
      <c r="G23" s="12"/>
      <c r="I23" s="33"/>
      <c r="J23" s="1"/>
      <c r="M23" s="7"/>
      <c r="N23" s="8"/>
      <c r="O23" s="8"/>
      <c r="P23" s="8"/>
      <c r="Q23" s="18"/>
      <c r="R23" s="24"/>
      <c r="S23" s="30"/>
      <c r="T23" s="25">
        <f>Tabla14628101214[[#This Row],[TOTAL]]/1.19</f>
        <v>0</v>
      </c>
      <c r="U23" s="27">
        <f>Tabla14628101214[[#This Row],[NETO]]*2%</f>
        <v>0</v>
      </c>
    </row>
    <row r="24" spans="1:21" x14ac:dyDescent="0.3">
      <c r="A24" s="6"/>
      <c r="B24" s="16"/>
      <c r="F24" s="21"/>
      <c r="G24" s="12"/>
      <c r="I24" s="19"/>
      <c r="J24" s="1"/>
      <c r="M24" s="7"/>
      <c r="N24" s="8"/>
      <c r="O24" s="8"/>
      <c r="P24" s="8"/>
      <c r="Q24" s="18"/>
      <c r="R24" s="24"/>
      <c r="S24" s="30"/>
      <c r="T24" s="25">
        <f>Tabla14628101214[[#This Row],[TOTAL]]/1.19</f>
        <v>0</v>
      </c>
      <c r="U24" s="27">
        <f>Tabla14628101214[[#This Row],[NETO]]*2%</f>
        <v>0</v>
      </c>
    </row>
    <row r="25" spans="1:21" x14ac:dyDescent="0.3">
      <c r="A25" s="6"/>
      <c r="B25" s="16"/>
      <c r="C25" s="44"/>
      <c r="F25" s="21"/>
      <c r="G25" s="12"/>
      <c r="I25" s="19"/>
      <c r="J25" s="1"/>
      <c r="M25" s="7"/>
      <c r="N25" s="8"/>
      <c r="O25" s="8"/>
      <c r="P25" s="8"/>
      <c r="Q25" s="18"/>
      <c r="R25" s="24"/>
      <c r="S25" s="30"/>
      <c r="T25" s="25">
        <f>Tabla14628101214[[#This Row],[TOTAL]]/1.19</f>
        <v>0</v>
      </c>
      <c r="U25" s="27">
        <f>Tabla14628101214[[#This Row],[NETO]]*2%</f>
        <v>0</v>
      </c>
    </row>
    <row r="26" spans="1:21" x14ac:dyDescent="0.3">
      <c r="A26" s="6"/>
      <c r="B26" s="16"/>
      <c r="F26" s="21"/>
      <c r="G26" s="12"/>
      <c r="I26" s="19"/>
      <c r="J26" s="1"/>
      <c r="L26" s="12"/>
      <c r="M26" s="7"/>
      <c r="N26" s="8"/>
      <c r="O26" s="8"/>
      <c r="P26" s="8"/>
      <c r="Q26" s="18"/>
      <c r="R26" s="24"/>
      <c r="S26" s="30"/>
      <c r="T26" s="25">
        <f>Tabla14628101214[[#This Row],[TOTAL]]/1.19</f>
        <v>0</v>
      </c>
      <c r="U26" s="27">
        <f>Tabla14628101214[[#This Row],[NETO]]*2%</f>
        <v>0</v>
      </c>
    </row>
    <row r="27" spans="1:21" x14ac:dyDescent="0.3">
      <c r="A27" s="6"/>
      <c r="B27" s="16"/>
      <c r="G27" s="12"/>
      <c r="I27" s="19"/>
      <c r="J27" s="1"/>
      <c r="L27" s="1"/>
      <c r="M27" s="7"/>
      <c r="N27" s="8"/>
      <c r="O27" s="8"/>
      <c r="P27" s="8"/>
      <c r="Q27" s="18"/>
      <c r="R27" s="24"/>
      <c r="S27" s="30"/>
      <c r="T27" s="25">
        <f>Tabla14628101214[[#This Row],[TOTAL]]/1.19</f>
        <v>0</v>
      </c>
      <c r="U27" s="27">
        <f>Tabla14628101214[[#This Row],[NETO]]*2%</f>
        <v>0</v>
      </c>
    </row>
    <row r="28" spans="1:21" x14ac:dyDescent="0.3">
      <c r="A28" s="6"/>
      <c r="B28" s="16"/>
      <c r="F28" s="21"/>
      <c r="G28" s="12"/>
      <c r="I28" s="19"/>
      <c r="J28" s="1"/>
      <c r="M28" s="7"/>
      <c r="N28" s="8"/>
      <c r="O28" s="8"/>
      <c r="P28" s="8"/>
      <c r="Q28" s="18"/>
      <c r="R28" s="24"/>
      <c r="S28" s="30"/>
      <c r="T28" s="25">
        <f>Tabla14628101214[[#This Row],[TOTAL]]/1.19</f>
        <v>0</v>
      </c>
      <c r="U28" s="27">
        <f>Tabla14628101214[[#This Row],[NETO]]*2%</f>
        <v>0</v>
      </c>
    </row>
    <row r="29" spans="1:21" x14ac:dyDescent="0.3">
      <c r="A29" s="6"/>
      <c r="B29" s="16"/>
      <c r="F29" s="41"/>
      <c r="G29" s="12"/>
      <c r="I29" s="19"/>
      <c r="J29" s="1"/>
      <c r="M29" s="7"/>
      <c r="N29" s="8"/>
      <c r="O29" s="8"/>
      <c r="P29" s="8"/>
      <c r="Q29" s="18"/>
      <c r="R29" s="24"/>
      <c r="S29" s="30"/>
      <c r="T29" s="25">
        <f>Tabla14628101214[[#This Row],[TOTAL]]/1.19</f>
        <v>0</v>
      </c>
      <c r="U29" s="27">
        <f>Tabla14628101214[[#This Row],[NETO]]*2%</f>
        <v>0</v>
      </c>
    </row>
    <row r="30" spans="1:21" x14ac:dyDescent="0.3">
      <c r="A30" s="6"/>
      <c r="B30" s="16"/>
      <c r="F30" s="21"/>
      <c r="G30" s="12"/>
      <c r="I30" s="19"/>
      <c r="J30" s="1"/>
      <c r="M30" s="7"/>
      <c r="N30" s="8"/>
      <c r="O30" s="8"/>
      <c r="P30" s="8"/>
      <c r="Q30" s="18"/>
      <c r="R30" s="24"/>
      <c r="S30" s="30"/>
      <c r="T30" s="25">
        <f>Tabla14628101214[[#This Row],[TOTAL]]/1.19</f>
        <v>0</v>
      </c>
      <c r="U30" s="27">
        <f>Tabla14628101214[[#This Row],[NETO]]*2%</f>
        <v>0</v>
      </c>
    </row>
    <row r="31" spans="1:21" x14ac:dyDescent="0.3">
      <c r="A31" s="6"/>
      <c r="B31" s="16"/>
      <c r="F31" s="21"/>
      <c r="G31" s="12"/>
      <c r="I31" s="19"/>
      <c r="J31" s="1"/>
      <c r="M31" s="7"/>
      <c r="N31" s="8"/>
      <c r="O31" s="8"/>
      <c r="P31" s="8"/>
      <c r="Q31" s="18"/>
      <c r="R31" s="24"/>
      <c r="S31" s="30"/>
      <c r="T31" s="25">
        <f>Tabla14628101214[[#This Row],[TOTAL]]/1.19</f>
        <v>0</v>
      </c>
      <c r="U31" s="27">
        <f>Tabla14628101214[[#This Row],[NETO]]*2%</f>
        <v>0</v>
      </c>
    </row>
    <row r="32" spans="1:21" x14ac:dyDescent="0.3">
      <c r="A32" s="6"/>
      <c r="B32" s="16"/>
      <c r="F32" s="21"/>
      <c r="G32" s="12"/>
      <c r="I32" s="19"/>
      <c r="J32" s="1"/>
      <c r="M32" s="7"/>
      <c r="N32" s="8"/>
      <c r="O32" s="8"/>
      <c r="P32" s="8"/>
      <c r="Q32" s="18"/>
      <c r="R32" s="24"/>
      <c r="S32" s="30"/>
      <c r="T32" s="25">
        <f>Tabla14628101214[[#This Row],[TOTAL]]/1.19</f>
        <v>0</v>
      </c>
      <c r="U32" s="27">
        <f>Tabla14628101214[[#This Row],[NETO]]*2%</f>
        <v>0</v>
      </c>
    </row>
    <row r="33" spans="1:21" x14ac:dyDescent="0.3">
      <c r="A33" s="6"/>
      <c r="B33" s="16"/>
      <c r="F33" s="21"/>
      <c r="G33" s="12"/>
      <c r="I33" s="19"/>
      <c r="J33" s="1"/>
      <c r="L33" s="49"/>
      <c r="M33" s="7"/>
      <c r="N33" s="8"/>
      <c r="O33" s="8"/>
      <c r="P33" s="8"/>
      <c r="Q33" s="18"/>
      <c r="R33" s="24"/>
      <c r="S33" s="30"/>
      <c r="T33" s="25">
        <f>Tabla14628101214[[#This Row],[TOTAL]]/1.19</f>
        <v>0</v>
      </c>
      <c r="U33" s="27">
        <f>Tabla14628101214[[#This Row],[NETO]]*2%</f>
        <v>0</v>
      </c>
    </row>
    <row r="34" spans="1:21" x14ac:dyDescent="0.3">
      <c r="A34" s="6"/>
      <c r="B34" s="16"/>
      <c r="F34" s="21"/>
      <c r="G34" s="12"/>
      <c r="I34" s="19"/>
      <c r="J34" s="1"/>
      <c r="M34" s="7"/>
      <c r="N34" s="8"/>
      <c r="O34" s="8"/>
      <c r="P34" s="8"/>
      <c r="Q34" s="18"/>
      <c r="R34" s="24"/>
      <c r="S34" s="30"/>
      <c r="T34" s="25">
        <f>Tabla14628101214[[#This Row],[TOTAL]]/1.19</f>
        <v>0</v>
      </c>
      <c r="U34" s="27">
        <f>Tabla14628101214[[#This Row],[NETO]]*2%</f>
        <v>0</v>
      </c>
    </row>
    <row r="35" spans="1:21" x14ac:dyDescent="0.3">
      <c r="A35" s="6"/>
      <c r="B35" s="16"/>
      <c r="F35" s="21"/>
      <c r="G35" s="12"/>
      <c r="H35" s="49"/>
      <c r="I35" s="19"/>
      <c r="J35" s="1"/>
      <c r="M35" s="7"/>
      <c r="N35" s="8"/>
      <c r="O35" s="8"/>
      <c r="P35" s="8"/>
      <c r="Q35" s="18"/>
      <c r="R35" s="24"/>
      <c r="S35" s="30"/>
      <c r="T35" s="25">
        <f>Tabla14628101214[[#This Row],[TOTAL]]/1.19</f>
        <v>0</v>
      </c>
      <c r="U35" s="27">
        <f>Tabla14628101214[[#This Row],[NETO]]*2%</f>
        <v>0</v>
      </c>
    </row>
    <row r="36" spans="1:21" x14ac:dyDescent="0.3">
      <c r="A36" s="6"/>
      <c r="B36" s="16"/>
      <c r="F36" s="21"/>
      <c r="G36" s="12"/>
      <c r="I36" s="19"/>
      <c r="J36" s="1"/>
      <c r="M36" s="7"/>
      <c r="N36" s="8"/>
      <c r="O36" s="8"/>
      <c r="P36" s="8"/>
      <c r="Q36" s="18"/>
      <c r="R36" s="24"/>
      <c r="S36" s="30"/>
      <c r="T36" s="25">
        <f>Tabla14628101214[[#This Row],[TOTAL]]/1.19</f>
        <v>0</v>
      </c>
      <c r="U36" s="27">
        <f>Tabla14628101214[[#This Row],[NETO]]*2%</f>
        <v>0</v>
      </c>
    </row>
    <row r="37" spans="1:21" x14ac:dyDescent="0.3">
      <c r="A37" s="6"/>
      <c r="B37" s="16"/>
      <c r="F37" s="21"/>
      <c r="G37" s="12"/>
      <c r="I37" s="19"/>
      <c r="J37" s="1"/>
      <c r="M37" s="7"/>
      <c r="N37" s="8"/>
      <c r="O37" s="8"/>
      <c r="P37" s="8"/>
      <c r="Q37" s="18"/>
      <c r="R37" s="24"/>
      <c r="S37" s="30"/>
      <c r="T37" s="25">
        <f>Tabla14628101214[[#This Row],[TOTAL]]/1.19</f>
        <v>0</v>
      </c>
      <c r="U37" s="27">
        <f>Tabla14628101214[[#This Row],[NETO]]*2%</f>
        <v>0</v>
      </c>
    </row>
    <row r="38" spans="1:21" x14ac:dyDescent="0.3">
      <c r="A38" s="6"/>
      <c r="B38" s="16"/>
      <c r="F38" s="21"/>
      <c r="G38" s="12"/>
      <c r="I38" s="19"/>
      <c r="J38" s="1"/>
      <c r="M38" s="7"/>
      <c r="N38" s="8"/>
      <c r="O38" s="8"/>
      <c r="P38" s="8"/>
      <c r="Q38" s="18"/>
      <c r="R38" s="24"/>
      <c r="S38" s="30"/>
      <c r="T38" s="25">
        <f>Tabla14628101214[[#This Row],[TOTAL]]/1.19</f>
        <v>0</v>
      </c>
      <c r="U38" s="27">
        <f>Tabla14628101214[[#This Row],[NETO]]*2%</f>
        <v>0</v>
      </c>
    </row>
    <row r="39" spans="1:21" x14ac:dyDescent="0.3">
      <c r="A39" s="6"/>
      <c r="B39" s="16"/>
      <c r="F39" s="21"/>
      <c r="G39" s="12"/>
      <c r="I39" s="19"/>
      <c r="J39" s="1"/>
      <c r="M39" s="7"/>
      <c r="N39" s="8"/>
      <c r="O39" s="8"/>
      <c r="P39" s="8"/>
      <c r="Q39" s="18"/>
      <c r="R39" s="24"/>
      <c r="S39" s="30"/>
      <c r="T39" s="25">
        <f>Tabla14628101214[[#This Row],[TOTAL]]/1.19</f>
        <v>0</v>
      </c>
      <c r="U39" s="27">
        <f>Tabla14628101214[[#This Row],[NETO]]*2%</f>
        <v>0</v>
      </c>
    </row>
    <row r="40" spans="1:21" x14ac:dyDescent="0.3">
      <c r="A40" s="6"/>
      <c r="B40" s="16"/>
      <c r="F40" s="21"/>
      <c r="G40" s="12"/>
      <c r="I40" s="19"/>
      <c r="J40" s="1"/>
      <c r="M40" s="7"/>
      <c r="N40" s="8"/>
      <c r="O40" s="8"/>
      <c r="P40" s="8"/>
      <c r="Q40" s="18"/>
      <c r="R40" s="24"/>
      <c r="S40" s="30"/>
      <c r="T40" s="25">
        <f>Tabla14628101214[[#This Row],[TOTAL]]/1.19</f>
        <v>0</v>
      </c>
      <c r="U40" s="27">
        <f>Tabla14628101214[[#This Row],[NETO]]*2%</f>
        <v>0</v>
      </c>
    </row>
    <row r="41" spans="1:21" x14ac:dyDescent="0.3">
      <c r="A41" s="6"/>
      <c r="B41" s="16"/>
      <c r="F41" s="21"/>
      <c r="G41" s="12"/>
      <c r="I41" s="19"/>
      <c r="J41" s="1"/>
      <c r="M41" s="7"/>
      <c r="N41" s="8"/>
      <c r="O41" s="8"/>
      <c r="P41" s="8"/>
      <c r="Q41" s="18"/>
      <c r="R41" s="24"/>
      <c r="S41" s="30"/>
      <c r="T41" s="25">
        <f>Tabla14628101214[[#This Row],[TOTAL]]/1.19</f>
        <v>0</v>
      </c>
      <c r="U41" s="27">
        <f>Tabla14628101214[[#This Row],[NETO]]*2%</f>
        <v>0</v>
      </c>
    </row>
    <row r="42" spans="1:21" x14ac:dyDescent="0.3">
      <c r="A42" s="6"/>
      <c r="B42" s="16"/>
      <c r="F42" s="21"/>
      <c r="G42" s="12"/>
      <c r="I42" s="19"/>
      <c r="J42" s="1"/>
      <c r="M42" s="7"/>
      <c r="N42" s="8"/>
      <c r="O42" s="8"/>
      <c r="P42" s="8"/>
      <c r="Q42" s="18"/>
      <c r="R42" s="24"/>
      <c r="S42" s="30"/>
      <c r="T42" s="25">
        <f>Tabla14628101214[[#This Row],[TOTAL]]/1.19</f>
        <v>0</v>
      </c>
      <c r="U42" s="27">
        <f>Tabla14628101214[[#This Row],[NETO]]*2%</f>
        <v>0</v>
      </c>
    </row>
    <row r="43" spans="1:21" x14ac:dyDescent="0.3">
      <c r="A43" s="6"/>
      <c r="B43" s="16"/>
      <c r="F43" s="21"/>
      <c r="G43" s="12"/>
      <c r="I43" s="19"/>
      <c r="J43" s="1"/>
      <c r="M43" s="7"/>
      <c r="N43" s="8"/>
      <c r="O43" s="8"/>
      <c r="P43" s="8"/>
      <c r="Q43" s="18"/>
      <c r="R43" s="24"/>
      <c r="S43" s="30"/>
      <c r="T43" s="25">
        <f>Tabla14628101214[[#This Row],[TOTAL]]/1.19</f>
        <v>0</v>
      </c>
      <c r="U43" s="27">
        <f>Tabla14628101214[[#This Row],[NETO]]*2%</f>
        <v>0</v>
      </c>
    </row>
    <row r="44" spans="1:21" x14ac:dyDescent="0.3">
      <c r="A44" s="6"/>
      <c r="B44" s="16"/>
      <c r="F44" s="21"/>
      <c r="G44" s="12"/>
      <c r="I44" s="33"/>
      <c r="J44" s="1"/>
      <c r="M44" s="7"/>
      <c r="N44" s="8"/>
      <c r="O44" s="8"/>
      <c r="P44" s="8"/>
      <c r="Q44" s="18"/>
      <c r="R44" s="24"/>
      <c r="S44" s="30"/>
      <c r="T44" s="25">
        <f>Tabla14628101214[[#This Row],[TOTAL]]/1.19</f>
        <v>0</v>
      </c>
      <c r="U44" s="27">
        <f>Tabla14628101214[[#This Row],[NETO]]*2%</f>
        <v>0</v>
      </c>
    </row>
    <row r="45" spans="1:21" x14ac:dyDescent="0.3">
      <c r="A45" s="6"/>
      <c r="B45" s="16"/>
      <c r="F45" s="21"/>
      <c r="G45" s="12"/>
      <c r="I45" s="19"/>
      <c r="J45" s="1"/>
      <c r="M45" s="7"/>
      <c r="N45" s="8"/>
      <c r="O45" s="8"/>
      <c r="P45" s="8"/>
      <c r="Q45" s="18"/>
      <c r="R45" s="24"/>
      <c r="S45" s="30"/>
      <c r="T45" s="25">
        <f>Tabla14628101214[[#This Row],[TOTAL]]/1.19</f>
        <v>0</v>
      </c>
      <c r="U45" s="27">
        <f>Tabla14628101214[[#This Row],[NETO]]*2%</f>
        <v>0</v>
      </c>
    </row>
    <row r="46" spans="1:21" x14ac:dyDescent="0.3">
      <c r="A46" s="6"/>
      <c r="B46" s="16"/>
      <c r="G46" s="12"/>
      <c r="I46" s="19"/>
      <c r="J46" s="1"/>
      <c r="M46" s="7"/>
      <c r="N46" s="8"/>
      <c r="O46" s="8"/>
      <c r="P46" s="8"/>
      <c r="Q46" s="18"/>
      <c r="R46" s="24"/>
      <c r="S46" s="30"/>
      <c r="T46" s="25">
        <f>Tabla14628101214[[#This Row],[TOTAL]]/1.19</f>
        <v>0</v>
      </c>
      <c r="U46" s="27">
        <f>Tabla14628101214[[#This Row],[NETO]]*2%</f>
        <v>0</v>
      </c>
    </row>
    <row r="47" spans="1:21" x14ac:dyDescent="0.3">
      <c r="A47" s="6"/>
      <c r="B47" s="16"/>
      <c r="G47" s="12"/>
      <c r="I47" s="19"/>
      <c r="J47" s="1"/>
      <c r="M47" s="7"/>
      <c r="N47" s="8"/>
      <c r="O47" s="8"/>
      <c r="P47" s="8"/>
      <c r="Q47" s="18"/>
      <c r="R47" s="24"/>
      <c r="S47" s="30"/>
      <c r="T47" s="25">
        <f>Tabla14628101214[[#This Row],[TOTAL]]/1.19</f>
        <v>0</v>
      </c>
      <c r="U47" s="27">
        <f>Tabla14628101214[[#This Row],[NETO]]*2%</f>
        <v>0</v>
      </c>
    </row>
    <row r="48" spans="1:21" x14ac:dyDescent="0.3">
      <c r="A48" s="6"/>
      <c r="B48" s="16"/>
      <c r="F48" s="21"/>
      <c r="G48" s="12"/>
      <c r="I48" s="19"/>
      <c r="J48" s="1"/>
      <c r="M48" s="7"/>
      <c r="N48" s="8"/>
      <c r="O48" s="8"/>
      <c r="P48" s="8"/>
      <c r="Q48" s="18"/>
      <c r="R48" s="24"/>
      <c r="S48" s="30"/>
      <c r="T48" s="25">
        <f t="shared" ref="T48:T59" si="0">S48/1.19</f>
        <v>0</v>
      </c>
      <c r="U48" s="27">
        <f>Tabla14628101214[[#This Row],[NETO]]*2%</f>
        <v>0</v>
      </c>
    </row>
    <row r="49" spans="1:28" x14ac:dyDescent="0.3">
      <c r="A49" s="6"/>
      <c r="B49" s="16"/>
      <c r="F49" s="21"/>
      <c r="G49" s="12"/>
      <c r="I49" s="19"/>
      <c r="J49" s="1"/>
      <c r="M49" s="7"/>
      <c r="N49" s="8"/>
      <c r="O49" s="8"/>
      <c r="P49" s="8"/>
      <c r="Q49" s="18"/>
      <c r="R49" s="24"/>
      <c r="S49" s="30"/>
      <c r="T49" s="25">
        <f t="shared" si="0"/>
        <v>0</v>
      </c>
      <c r="U49" s="27">
        <f>Tabla14628101214[[#This Row],[NETO]]*2%</f>
        <v>0</v>
      </c>
    </row>
    <row r="50" spans="1:28" x14ac:dyDescent="0.3">
      <c r="A50" s="6"/>
      <c r="B50" s="16"/>
      <c r="F50" s="21"/>
      <c r="G50" s="12"/>
      <c r="I50" s="19"/>
      <c r="J50" s="1"/>
      <c r="M50" s="7"/>
      <c r="N50" s="8"/>
      <c r="O50" s="8"/>
      <c r="P50" s="8"/>
      <c r="Q50" s="18"/>
      <c r="R50" s="24"/>
      <c r="S50" s="30"/>
      <c r="T50" s="25">
        <f t="shared" si="0"/>
        <v>0</v>
      </c>
      <c r="U50" s="27">
        <f>Tabla14628101214[[#This Row],[NETO]]*2%</f>
        <v>0</v>
      </c>
    </row>
    <row r="51" spans="1:28" x14ac:dyDescent="0.3">
      <c r="A51" s="6"/>
      <c r="B51" s="16"/>
      <c r="F51" s="21"/>
      <c r="G51" s="12"/>
      <c r="H51" s="49"/>
      <c r="I51" s="19"/>
      <c r="J51" s="1"/>
      <c r="M51" s="7"/>
      <c r="N51" s="8"/>
      <c r="O51" s="8"/>
      <c r="P51" s="8"/>
      <c r="Q51" s="2"/>
      <c r="R51" s="24"/>
      <c r="S51" s="30"/>
      <c r="T51" s="25">
        <f t="shared" si="0"/>
        <v>0</v>
      </c>
      <c r="U51" s="27">
        <f>Tabla14628101214[[#This Row],[NETO]]*2%</f>
        <v>0</v>
      </c>
    </row>
    <row r="52" spans="1:28" x14ac:dyDescent="0.3">
      <c r="A52" s="6"/>
      <c r="B52" s="16"/>
      <c r="F52" s="21"/>
      <c r="G52" s="12"/>
      <c r="H52" s="49"/>
      <c r="I52" s="19"/>
      <c r="J52" s="1"/>
      <c r="M52" s="7"/>
      <c r="N52" s="8"/>
      <c r="O52" s="8"/>
      <c r="P52" s="8"/>
      <c r="Q52" s="18"/>
      <c r="R52" s="24"/>
      <c r="S52" s="30"/>
      <c r="T52" s="25">
        <f t="shared" si="0"/>
        <v>0</v>
      </c>
      <c r="U52" s="27">
        <f>Tabla14628101214[[#This Row],[NETO]]*2%</f>
        <v>0</v>
      </c>
    </row>
    <row r="53" spans="1:28" x14ac:dyDescent="0.3">
      <c r="A53" s="6"/>
      <c r="B53" s="16"/>
      <c r="F53" s="21"/>
      <c r="G53" s="12"/>
      <c r="I53" s="33"/>
      <c r="J53" s="1"/>
      <c r="M53" s="7"/>
      <c r="N53" s="8"/>
      <c r="O53" s="8"/>
      <c r="P53" s="8"/>
      <c r="Q53" s="18"/>
      <c r="R53" s="24"/>
      <c r="S53" s="30"/>
      <c r="T53" s="25">
        <f t="shared" si="0"/>
        <v>0</v>
      </c>
      <c r="U53" s="27">
        <f>Tabla14628101214[[#This Row],[NETO]]*2%</f>
        <v>0</v>
      </c>
    </row>
    <row r="54" spans="1:28" x14ac:dyDescent="0.3">
      <c r="A54" s="6"/>
      <c r="B54" s="16"/>
      <c r="F54" s="21"/>
      <c r="G54" s="12"/>
      <c r="I54" s="19"/>
      <c r="J54" s="1"/>
      <c r="M54" s="7"/>
      <c r="N54" s="8"/>
      <c r="O54" s="8"/>
      <c r="P54" s="8"/>
      <c r="Q54" s="18"/>
      <c r="R54" s="24"/>
      <c r="S54" s="30"/>
      <c r="T54" s="25">
        <f t="shared" si="0"/>
        <v>0</v>
      </c>
      <c r="U54" s="27">
        <f>Tabla14628101214[[#This Row],[NETO]]*2%</f>
        <v>0</v>
      </c>
    </row>
    <row r="55" spans="1:28" x14ac:dyDescent="0.3">
      <c r="A55" s="6"/>
      <c r="B55" s="16"/>
      <c r="F55" s="21"/>
      <c r="G55" s="12"/>
      <c r="I55" s="33"/>
      <c r="J55" s="1"/>
      <c r="M55" s="7"/>
      <c r="N55" s="8"/>
      <c r="O55" s="8"/>
      <c r="P55" s="8"/>
      <c r="Q55" s="18"/>
      <c r="R55" s="24"/>
      <c r="S55" s="30"/>
      <c r="T55" s="25">
        <f t="shared" si="0"/>
        <v>0</v>
      </c>
      <c r="U55" s="27">
        <f>Tabla14628101214[[#This Row],[NETO]]*2%</f>
        <v>0</v>
      </c>
    </row>
    <row r="56" spans="1:28" x14ac:dyDescent="0.3">
      <c r="A56" s="6"/>
      <c r="B56" s="16"/>
      <c r="F56" s="21"/>
      <c r="G56" s="12"/>
      <c r="I56" s="19"/>
      <c r="J56" s="1"/>
      <c r="M56" s="7"/>
      <c r="N56" s="8"/>
      <c r="O56" s="8"/>
      <c r="P56" s="8"/>
      <c r="Q56" s="18"/>
      <c r="R56" s="24"/>
      <c r="S56" s="30"/>
      <c r="T56" s="25">
        <f t="shared" si="0"/>
        <v>0</v>
      </c>
      <c r="U56" s="27">
        <f>Tabla14628101214[[#This Row],[NETO]]*2%</f>
        <v>0</v>
      </c>
      <c r="Y56" s="135" t="s">
        <v>38</v>
      </c>
      <c r="Z56" s="135"/>
      <c r="AA56" s="75" t="s">
        <v>39</v>
      </c>
      <c r="AB56" s="74" t="s">
        <v>18</v>
      </c>
    </row>
    <row r="57" spans="1:28" x14ac:dyDescent="0.3">
      <c r="A57" s="6"/>
      <c r="B57" s="16"/>
      <c r="F57" s="21"/>
      <c r="G57" s="12"/>
      <c r="I57" s="33"/>
      <c r="J57" s="1"/>
      <c r="M57" s="7"/>
      <c r="N57" s="8"/>
      <c r="O57" s="8"/>
      <c r="P57" s="8"/>
      <c r="Q57" s="18"/>
      <c r="R57" s="24"/>
      <c r="S57" s="30"/>
      <c r="T57" s="25">
        <f t="shared" si="0"/>
        <v>0</v>
      </c>
      <c r="U57" s="27">
        <f>Tabla14628101214[[#This Row],[NETO]]*2%</f>
        <v>0</v>
      </c>
      <c r="Y57" s="76" t="s">
        <v>34</v>
      </c>
      <c r="Z57" s="59">
        <v>443710</v>
      </c>
      <c r="AA57" s="77">
        <v>402268</v>
      </c>
      <c r="AB57" s="59">
        <f>Z57-AA57</f>
        <v>41442</v>
      </c>
    </row>
    <row r="58" spans="1:28" x14ac:dyDescent="0.3">
      <c r="A58" s="6"/>
      <c r="B58" s="16"/>
      <c r="F58" s="21"/>
      <c r="G58" s="12"/>
      <c r="I58" s="19"/>
      <c r="J58" s="1"/>
      <c r="M58" s="7"/>
      <c r="N58" s="8"/>
      <c r="O58" s="8"/>
      <c r="P58" s="8"/>
      <c r="Q58" s="18"/>
      <c r="R58" s="24"/>
      <c r="S58" s="30"/>
      <c r="T58" s="25">
        <f t="shared" si="0"/>
        <v>0</v>
      </c>
      <c r="U58" s="27">
        <f>Tabla14628101214[[#This Row],[NETO]]*2%</f>
        <v>0</v>
      </c>
    </row>
    <row r="59" spans="1:28" x14ac:dyDescent="0.3">
      <c r="A59" s="6"/>
      <c r="B59" s="16"/>
      <c r="F59" s="21"/>
      <c r="G59" s="12"/>
      <c r="I59" s="19"/>
      <c r="J59" s="1"/>
      <c r="M59" s="7"/>
      <c r="N59" s="8"/>
      <c r="O59" s="8"/>
      <c r="P59" s="8"/>
      <c r="Q59" s="18"/>
      <c r="R59" s="24"/>
      <c r="S59" s="30"/>
      <c r="T59" s="25">
        <f t="shared" si="0"/>
        <v>0</v>
      </c>
      <c r="U59" s="27">
        <f>Tabla14628101214[[#This Row],[NETO]]*2%</f>
        <v>0</v>
      </c>
    </row>
    <row r="60" spans="1:28" ht="15" thickBot="1" x14ac:dyDescent="0.35">
      <c r="A60" s="5" t="s">
        <v>18</v>
      </c>
      <c r="B60" s="17">
        <f>COUNT(B3:B59)</f>
        <v>0</v>
      </c>
      <c r="C60" s="4"/>
      <c r="D60" s="4"/>
      <c r="E60" s="4"/>
      <c r="F60" s="22"/>
      <c r="G60" s="13"/>
      <c r="H60" s="14"/>
      <c r="I60" s="20"/>
      <c r="J60" s="23"/>
      <c r="K60" s="14"/>
      <c r="L60" s="14"/>
      <c r="M60" s="9"/>
      <c r="N60" s="10"/>
      <c r="O60" s="10"/>
      <c r="P60" s="10"/>
      <c r="Q60" s="11"/>
      <c r="R60" s="31"/>
      <c r="S60" s="32">
        <f>SUM(S3:S59)</f>
        <v>0</v>
      </c>
      <c r="T60" s="32">
        <f>SUM(T3:T59)</f>
        <v>0</v>
      </c>
      <c r="U60" s="32">
        <f>Tabla14628101214[[#This Row],[NETO]]*2%</f>
        <v>0</v>
      </c>
    </row>
    <row r="62" spans="1:28" x14ac:dyDescent="0.3">
      <c r="T62" s="40"/>
      <c r="U62" s="39"/>
    </row>
  </sheetData>
  <mergeCells count="5">
    <mergeCell ref="C1:F1"/>
    <mergeCell ref="G1:L1"/>
    <mergeCell ref="M1:Q1"/>
    <mergeCell ref="R1:U1"/>
    <mergeCell ref="Y56:Z56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E937-8964-4F8A-A2EF-77DAC154CF24}">
  <dimension ref="A1:AC70"/>
  <sheetViews>
    <sheetView topLeftCell="A46" zoomScale="65" zoomScaleNormal="65" workbookViewId="0">
      <selection activeCell="X2" sqref="X2:AA6"/>
    </sheetView>
  </sheetViews>
  <sheetFormatPr baseColWidth="10" defaultRowHeight="14.4" x14ac:dyDescent="0.3"/>
  <cols>
    <col min="3" max="3" width="20.5546875" bestFit="1" customWidth="1"/>
    <col min="5" max="5" width="12" bestFit="1" customWidth="1"/>
    <col min="13" max="13" width="8.109375" customWidth="1"/>
    <col min="14" max="14" width="7.5546875" customWidth="1"/>
    <col min="15" max="15" width="6.6640625" customWidth="1"/>
    <col min="16" max="16" width="7.88671875" customWidth="1"/>
    <col min="19" max="19" width="15.109375" customWidth="1"/>
    <col min="20" max="20" width="16.33203125" customWidth="1"/>
    <col min="24" max="24" width="12" style="1" customWidth="1"/>
    <col min="25" max="25" width="24.44140625" bestFit="1" customWidth="1"/>
    <col min="26" max="26" width="12" style="3" customWidth="1"/>
  </cols>
  <sheetData>
    <row r="1" spans="1:26" ht="18" x14ac:dyDescent="0.35">
      <c r="A1" s="2"/>
      <c r="B1" s="15"/>
      <c r="C1" s="131" t="s">
        <v>1</v>
      </c>
      <c r="D1" s="132"/>
      <c r="E1" s="132"/>
      <c r="F1" s="133"/>
      <c r="G1" s="121" t="s">
        <v>6</v>
      </c>
      <c r="H1" s="122"/>
      <c r="I1" s="122"/>
      <c r="J1" s="122"/>
      <c r="K1" s="123"/>
      <c r="L1" s="123"/>
      <c r="M1" s="121" t="s">
        <v>13</v>
      </c>
      <c r="N1" s="122"/>
      <c r="O1" s="122"/>
      <c r="P1" s="122"/>
      <c r="Q1" s="124"/>
      <c r="R1" s="125" t="s">
        <v>24</v>
      </c>
      <c r="S1" s="126"/>
      <c r="T1" s="126"/>
      <c r="U1" s="126"/>
      <c r="X1" s="1" t="s">
        <v>22</v>
      </c>
      <c r="Y1" t="s">
        <v>25</v>
      </c>
      <c r="Z1" s="3" t="s">
        <v>19</v>
      </c>
    </row>
    <row r="2" spans="1:26" x14ac:dyDescent="0.3">
      <c r="A2" s="2" t="s">
        <v>0</v>
      </c>
      <c r="B2" s="16" t="s">
        <v>22</v>
      </c>
      <c r="C2" t="s">
        <v>3</v>
      </c>
      <c r="D2" t="s">
        <v>2</v>
      </c>
      <c r="E2" t="s">
        <v>4</v>
      </c>
      <c r="F2" t="s">
        <v>5</v>
      </c>
      <c r="G2" s="12" t="s">
        <v>7</v>
      </c>
      <c r="H2" t="s">
        <v>8</v>
      </c>
      <c r="I2" s="19" t="s">
        <v>10</v>
      </c>
      <c r="J2" s="1" t="s">
        <v>9</v>
      </c>
      <c r="K2" t="s">
        <v>11</v>
      </c>
      <c r="L2" t="s">
        <v>12</v>
      </c>
      <c r="M2" s="7" t="s">
        <v>14</v>
      </c>
      <c r="N2" s="8" t="s">
        <v>15</v>
      </c>
      <c r="O2" s="8" t="s">
        <v>16</v>
      </c>
      <c r="P2" s="8" t="s">
        <v>17</v>
      </c>
      <c r="Q2" s="18" t="s">
        <v>21</v>
      </c>
      <c r="R2" s="24" t="s">
        <v>23</v>
      </c>
      <c r="S2" s="29" t="s">
        <v>18</v>
      </c>
      <c r="T2" s="26" t="s">
        <v>20</v>
      </c>
      <c r="U2" s="28" t="s">
        <v>19</v>
      </c>
    </row>
    <row r="3" spans="1:26" x14ac:dyDescent="0.3">
      <c r="A3" s="6"/>
      <c r="B3" s="16"/>
      <c r="F3" s="21"/>
      <c r="G3" s="12"/>
      <c r="I3" s="36"/>
      <c r="J3" s="1"/>
      <c r="M3" s="7"/>
      <c r="N3" s="8"/>
      <c r="O3" s="8"/>
      <c r="P3" s="8"/>
      <c r="Q3" s="18"/>
      <c r="R3" s="24"/>
      <c r="S3" s="29"/>
      <c r="T3" s="25">
        <f>Tabla1462810121416[[#This Row],[TOTAL]]/1.19</f>
        <v>0</v>
      </c>
      <c r="U3" s="27">
        <f>Tabla1462810121416[[#This Row],[NETO]]*2%</f>
        <v>0</v>
      </c>
    </row>
    <row r="4" spans="1:26" x14ac:dyDescent="0.3">
      <c r="A4" s="6"/>
      <c r="B4" s="16"/>
      <c r="F4" s="34"/>
      <c r="G4" s="12"/>
      <c r="I4" s="36"/>
      <c r="J4" s="1"/>
      <c r="M4" s="7"/>
      <c r="N4" s="8"/>
      <c r="O4" s="8"/>
      <c r="P4" s="8"/>
      <c r="Q4" s="18"/>
      <c r="R4" s="24"/>
      <c r="S4" s="29"/>
      <c r="T4" s="25">
        <f>Tabla1462810121416[[#This Row],[TOTAL]]/1.19</f>
        <v>0</v>
      </c>
      <c r="U4" s="27">
        <f>Tabla1462810121416[[#This Row],[NETO]]*2%</f>
        <v>0</v>
      </c>
    </row>
    <row r="5" spans="1:26" x14ac:dyDescent="0.3">
      <c r="A5" s="6"/>
      <c r="B5" s="16"/>
      <c r="F5" s="21"/>
      <c r="G5" s="12"/>
      <c r="I5" s="36"/>
      <c r="J5" s="1"/>
      <c r="M5" s="7"/>
      <c r="N5" s="8"/>
      <c r="O5" s="8"/>
      <c r="P5" s="8"/>
      <c r="Q5" s="18"/>
      <c r="R5" s="24"/>
      <c r="S5" s="29"/>
      <c r="T5" s="25">
        <f>Tabla1462810121416[[#This Row],[TOTAL]]/1.19</f>
        <v>0</v>
      </c>
      <c r="U5" s="27">
        <f>Tabla1462810121416[[#This Row],[NETO]]*2%</f>
        <v>0</v>
      </c>
    </row>
    <row r="6" spans="1:26" x14ac:dyDescent="0.3">
      <c r="A6" s="6"/>
      <c r="B6" s="16"/>
      <c r="F6" s="21"/>
      <c r="G6" s="12"/>
      <c r="I6" s="36"/>
      <c r="J6" s="1"/>
      <c r="M6" s="7"/>
      <c r="N6" s="8"/>
      <c r="O6" s="8"/>
      <c r="P6" s="8"/>
      <c r="Q6" s="18"/>
      <c r="R6" s="24"/>
      <c r="S6" s="29"/>
      <c r="T6" s="25">
        <f>Tabla1462810121416[[#This Row],[TOTAL]]/1.19</f>
        <v>0</v>
      </c>
      <c r="U6" s="27">
        <f>Tabla1462810121416[[#This Row],[NETO]]*2%</f>
        <v>0</v>
      </c>
    </row>
    <row r="7" spans="1:26" x14ac:dyDescent="0.3">
      <c r="A7" s="6"/>
      <c r="B7" s="16"/>
      <c r="F7" s="21"/>
      <c r="G7" s="12"/>
      <c r="I7" s="19"/>
      <c r="J7" s="1"/>
      <c r="M7" s="7"/>
      <c r="N7" s="8"/>
      <c r="O7" s="8"/>
      <c r="P7" s="8"/>
      <c r="Q7" s="18"/>
      <c r="R7" s="24"/>
      <c r="S7" s="29"/>
      <c r="T7" s="25">
        <f>Tabla1462810121416[[#This Row],[TOTAL]]/1.19</f>
        <v>0</v>
      </c>
      <c r="U7" s="27">
        <f>Tabla1462810121416[[#This Row],[NETO]]*2%</f>
        <v>0</v>
      </c>
    </row>
    <row r="8" spans="1:26" x14ac:dyDescent="0.3">
      <c r="A8" s="6"/>
      <c r="B8" s="16"/>
      <c r="F8" s="21"/>
      <c r="G8" s="12"/>
      <c r="I8" s="36"/>
      <c r="J8" s="1"/>
      <c r="M8" s="7"/>
      <c r="N8" s="8"/>
      <c r="O8" s="8"/>
      <c r="P8" s="8"/>
      <c r="Q8" s="18"/>
      <c r="R8" s="24"/>
      <c r="S8" s="29"/>
      <c r="T8" s="25">
        <f>Tabla1462810121416[[#This Row],[TOTAL]]/1.19</f>
        <v>0</v>
      </c>
      <c r="U8" s="27">
        <f>Tabla1462810121416[[#This Row],[NETO]]*2%</f>
        <v>0</v>
      </c>
    </row>
    <row r="9" spans="1:26" x14ac:dyDescent="0.3">
      <c r="A9" s="6"/>
      <c r="B9" s="16"/>
      <c r="F9" s="21"/>
      <c r="G9" s="12"/>
      <c r="I9" s="36"/>
      <c r="J9" s="1"/>
      <c r="M9" s="7"/>
      <c r="N9" s="8"/>
      <c r="O9" s="8"/>
      <c r="P9" s="8"/>
      <c r="Q9" s="18"/>
      <c r="R9" s="24"/>
      <c r="S9" s="29"/>
      <c r="T9" s="25">
        <f>Tabla1462810121416[[#This Row],[TOTAL]]/1.19</f>
        <v>0</v>
      </c>
      <c r="U9" s="27">
        <f>Tabla1462810121416[[#This Row],[NETO]]*2%</f>
        <v>0</v>
      </c>
    </row>
    <row r="10" spans="1:26" x14ac:dyDescent="0.3">
      <c r="A10" s="6"/>
      <c r="B10" s="16"/>
      <c r="F10" s="34"/>
      <c r="G10" s="12"/>
      <c r="I10" s="36"/>
      <c r="J10" s="1"/>
      <c r="M10" s="7"/>
      <c r="N10" s="8"/>
      <c r="O10" s="8"/>
      <c r="P10" s="8"/>
      <c r="Q10" s="18"/>
      <c r="R10" s="24"/>
      <c r="S10" s="29"/>
      <c r="T10" s="25">
        <f>Tabla1462810121416[[#This Row],[TOTAL]]/1.19</f>
        <v>0</v>
      </c>
      <c r="U10" s="27">
        <f>Tabla1462810121416[[#This Row],[NETO]]*2%</f>
        <v>0</v>
      </c>
    </row>
    <row r="11" spans="1:26" x14ac:dyDescent="0.3">
      <c r="A11" s="6"/>
      <c r="B11" s="16"/>
      <c r="F11" s="21"/>
      <c r="G11" s="12"/>
      <c r="I11" s="36"/>
      <c r="J11" s="1"/>
      <c r="M11" s="7"/>
      <c r="N11" s="8"/>
      <c r="O11" s="8"/>
      <c r="P11" s="8"/>
      <c r="Q11" s="18"/>
      <c r="R11" s="24"/>
      <c r="S11" s="29"/>
      <c r="T11" s="25">
        <f>Tabla1462810121416[[#This Row],[TOTAL]]/1.19</f>
        <v>0</v>
      </c>
      <c r="U11" s="27">
        <f>Tabla1462810121416[[#This Row],[NETO]]*2%</f>
        <v>0</v>
      </c>
    </row>
    <row r="12" spans="1:26" x14ac:dyDescent="0.3">
      <c r="A12" s="6"/>
      <c r="B12" s="16"/>
      <c r="F12" s="34"/>
      <c r="G12" s="12"/>
      <c r="H12" s="12"/>
      <c r="I12" s="37"/>
      <c r="J12" s="47"/>
      <c r="M12" s="7"/>
      <c r="N12" s="8"/>
      <c r="O12" s="8"/>
      <c r="P12" s="8"/>
      <c r="Q12" s="18"/>
      <c r="R12" s="24"/>
      <c r="S12" s="29"/>
      <c r="T12" s="25">
        <f>Tabla1462810121416[[#This Row],[TOTAL]]/1.19</f>
        <v>0</v>
      </c>
      <c r="U12" s="27">
        <f>Tabla1462810121416[[#This Row],[NETO]]*2%</f>
        <v>0</v>
      </c>
    </row>
    <row r="13" spans="1:26" x14ac:dyDescent="0.3">
      <c r="A13" s="6"/>
      <c r="B13" s="16"/>
      <c r="F13" s="21"/>
      <c r="G13" s="12"/>
      <c r="I13" s="36"/>
      <c r="J13" s="1"/>
      <c r="M13" s="7"/>
      <c r="N13" s="8"/>
      <c r="O13" s="8"/>
      <c r="P13" s="8"/>
      <c r="Q13" s="18"/>
      <c r="R13" s="24"/>
      <c r="S13" s="29"/>
      <c r="T13" s="25">
        <f>Tabla1462810121416[[#This Row],[TOTAL]]/1.19</f>
        <v>0</v>
      </c>
      <c r="U13" s="27">
        <f>Tabla1462810121416[[#This Row],[NETO]]*2%</f>
        <v>0</v>
      </c>
    </row>
    <row r="14" spans="1:26" x14ac:dyDescent="0.3">
      <c r="A14" s="6"/>
      <c r="B14" s="16"/>
      <c r="F14" s="34"/>
      <c r="G14" s="12"/>
      <c r="I14" s="36"/>
      <c r="J14" s="1"/>
      <c r="M14" s="7"/>
      <c r="N14" s="8"/>
      <c r="O14" s="8"/>
      <c r="P14" s="8"/>
      <c r="Q14" s="18"/>
      <c r="R14" s="24"/>
      <c r="S14" s="29"/>
      <c r="T14" s="25">
        <f>Tabla1462810121416[[#This Row],[TOTAL]]/1.19</f>
        <v>0</v>
      </c>
      <c r="U14" s="27">
        <f>Tabla1462810121416[[#This Row],[NETO]]*2%</f>
        <v>0</v>
      </c>
    </row>
    <row r="15" spans="1:26" x14ac:dyDescent="0.3">
      <c r="A15" s="6"/>
      <c r="B15" s="16"/>
      <c r="G15" s="12"/>
      <c r="I15" s="36"/>
      <c r="J15" s="1"/>
      <c r="M15" s="7"/>
      <c r="N15" s="8"/>
      <c r="O15" s="8"/>
      <c r="P15" s="8"/>
      <c r="Q15" s="18"/>
      <c r="R15" s="24"/>
      <c r="S15" s="30"/>
      <c r="T15" s="25">
        <f>Tabla1462810121416[[#This Row],[TOTAL]]/1.19</f>
        <v>0</v>
      </c>
      <c r="U15" s="27">
        <f>Tabla1462810121416[[#This Row],[NETO]]*2%</f>
        <v>0</v>
      </c>
    </row>
    <row r="16" spans="1:26" x14ac:dyDescent="0.3">
      <c r="A16" s="6"/>
      <c r="B16" s="16"/>
      <c r="F16" s="34"/>
      <c r="G16" s="12"/>
      <c r="H16" s="12"/>
      <c r="I16" s="12"/>
      <c r="J16" s="12"/>
      <c r="K16" s="12"/>
      <c r="L16" s="12"/>
      <c r="M16" s="7"/>
      <c r="N16" s="8"/>
      <c r="O16" s="8"/>
      <c r="P16" s="8"/>
      <c r="Q16" s="18"/>
      <c r="R16" s="24"/>
      <c r="S16" s="30"/>
      <c r="T16" s="25">
        <f>Tabla1462810121416[[#This Row],[TOTAL]]/1.19</f>
        <v>0</v>
      </c>
      <c r="U16" s="27">
        <f>Tabla1462810121416[[#This Row],[NETO]]*2%</f>
        <v>0</v>
      </c>
    </row>
    <row r="17" spans="1:21" x14ac:dyDescent="0.3">
      <c r="A17" s="6"/>
      <c r="B17" s="16"/>
      <c r="F17" s="21"/>
      <c r="G17" s="12"/>
      <c r="I17" s="36"/>
      <c r="J17" s="1"/>
      <c r="M17" s="7"/>
      <c r="N17" s="8"/>
      <c r="O17" s="8"/>
      <c r="P17" s="8"/>
      <c r="Q17" s="18"/>
      <c r="R17" s="24"/>
      <c r="S17" s="30"/>
      <c r="T17" s="25">
        <f>Tabla1462810121416[[#This Row],[TOTAL]]/1.19</f>
        <v>0</v>
      </c>
      <c r="U17" s="27">
        <f>Tabla1462810121416[[#This Row],[NETO]]*2%</f>
        <v>0</v>
      </c>
    </row>
    <row r="18" spans="1:21" x14ac:dyDescent="0.3">
      <c r="A18" s="6"/>
      <c r="B18" s="16"/>
      <c r="F18" s="34"/>
      <c r="G18" s="12"/>
      <c r="I18" s="36"/>
      <c r="J18" s="1"/>
      <c r="M18" s="7"/>
      <c r="N18" s="8"/>
      <c r="O18" s="8"/>
      <c r="P18" s="8"/>
      <c r="Q18" s="18"/>
      <c r="R18" s="24"/>
      <c r="S18" s="30"/>
      <c r="T18" s="25">
        <f>Tabla1462810121416[[#This Row],[TOTAL]]/1.19</f>
        <v>0</v>
      </c>
      <c r="U18" s="27">
        <f>Tabla1462810121416[[#This Row],[NETO]]*2%</f>
        <v>0</v>
      </c>
    </row>
    <row r="19" spans="1:21" x14ac:dyDescent="0.3">
      <c r="A19" s="6"/>
      <c r="B19" s="16"/>
      <c r="F19" s="21"/>
      <c r="G19" s="12"/>
      <c r="I19" s="19"/>
      <c r="J19" s="1"/>
      <c r="M19" s="7"/>
      <c r="N19" s="8"/>
      <c r="O19" s="8"/>
      <c r="P19" s="8"/>
      <c r="Q19" s="18"/>
      <c r="R19" s="24"/>
      <c r="S19" s="30"/>
      <c r="T19" s="25">
        <f>Tabla1462810121416[[#This Row],[TOTAL]]/1.19</f>
        <v>0</v>
      </c>
      <c r="U19" s="27">
        <f>Tabla1462810121416[[#This Row],[NETO]]*2%</f>
        <v>0</v>
      </c>
    </row>
    <row r="20" spans="1:21" x14ac:dyDescent="0.3">
      <c r="A20" s="6"/>
      <c r="B20" s="16"/>
      <c r="F20" s="21"/>
      <c r="G20" s="12"/>
      <c r="I20" s="19"/>
      <c r="J20" s="1"/>
      <c r="M20" s="7"/>
      <c r="N20" s="8"/>
      <c r="O20" s="8"/>
      <c r="P20" s="8"/>
      <c r="Q20" s="18"/>
      <c r="R20" s="24"/>
      <c r="S20" s="30"/>
      <c r="T20" s="25">
        <f>Tabla1462810121416[[#This Row],[TOTAL]]/1.19</f>
        <v>0</v>
      </c>
      <c r="U20" s="27">
        <f>Tabla1462810121416[[#This Row],[NETO]]*2%</f>
        <v>0</v>
      </c>
    </row>
    <row r="21" spans="1:21" x14ac:dyDescent="0.3">
      <c r="A21" s="6"/>
      <c r="B21" s="16"/>
      <c r="F21" s="21"/>
      <c r="G21" s="12"/>
      <c r="I21" s="19"/>
      <c r="J21" s="1"/>
      <c r="M21" s="7"/>
      <c r="N21" s="8"/>
      <c r="O21" s="8"/>
      <c r="P21" s="8"/>
      <c r="Q21" s="18"/>
      <c r="R21" s="24"/>
      <c r="S21" s="30"/>
      <c r="T21" s="25">
        <f>Tabla1462810121416[[#This Row],[TOTAL]]/1.19</f>
        <v>0</v>
      </c>
      <c r="U21" s="27">
        <f>Tabla1462810121416[[#This Row],[NETO]]*2%</f>
        <v>0</v>
      </c>
    </row>
    <row r="22" spans="1:21" x14ac:dyDescent="0.3">
      <c r="A22" s="6"/>
      <c r="B22" s="16"/>
      <c r="F22" s="21"/>
      <c r="G22" s="12"/>
      <c r="I22" s="19"/>
      <c r="J22" s="1"/>
      <c r="M22" s="7"/>
      <c r="N22" s="8"/>
      <c r="O22" s="8"/>
      <c r="P22" s="8"/>
      <c r="Q22" s="18"/>
      <c r="R22" s="24"/>
      <c r="S22" s="30"/>
      <c r="T22" s="25">
        <f>Tabla1462810121416[[#This Row],[TOTAL]]/1.19</f>
        <v>0</v>
      </c>
      <c r="U22" s="27">
        <f>Tabla1462810121416[[#This Row],[NETO]]*2%</f>
        <v>0</v>
      </c>
    </row>
    <row r="23" spans="1:21" x14ac:dyDescent="0.3">
      <c r="A23" s="6"/>
      <c r="B23" s="16"/>
      <c r="F23" s="21"/>
      <c r="G23" s="12"/>
      <c r="I23" s="33"/>
      <c r="J23" s="1"/>
      <c r="L23" s="19"/>
      <c r="M23" s="7"/>
      <c r="N23" s="8"/>
      <c r="O23" s="8"/>
      <c r="P23" s="8"/>
      <c r="Q23" s="18"/>
      <c r="R23" s="24"/>
      <c r="S23" s="30"/>
      <c r="T23" s="25">
        <f>Tabla1462810121416[[#This Row],[TOTAL]]/1.19</f>
        <v>0</v>
      </c>
      <c r="U23" s="27">
        <f>Tabla1462810121416[[#This Row],[NETO]]*2%</f>
        <v>0</v>
      </c>
    </row>
    <row r="24" spans="1:21" x14ac:dyDescent="0.3">
      <c r="A24" s="6"/>
      <c r="B24" s="16"/>
      <c r="G24" s="12"/>
      <c r="I24" s="19"/>
      <c r="J24" s="1"/>
      <c r="M24" s="7"/>
      <c r="N24" s="8"/>
      <c r="O24" s="8"/>
      <c r="P24" s="8"/>
      <c r="Q24" s="18"/>
      <c r="R24" s="24"/>
      <c r="S24" s="30"/>
      <c r="T24" s="25">
        <f>Tabla1462810121416[[#This Row],[TOTAL]]/1.19</f>
        <v>0</v>
      </c>
      <c r="U24" s="27">
        <f>Tabla1462810121416[[#This Row],[NETO]]*2%</f>
        <v>0</v>
      </c>
    </row>
    <row r="25" spans="1:21" x14ac:dyDescent="0.3">
      <c r="A25" s="6"/>
      <c r="B25" s="16"/>
      <c r="C25" s="44"/>
      <c r="F25" s="21"/>
      <c r="G25" s="12"/>
      <c r="I25" s="19"/>
      <c r="J25" s="1"/>
      <c r="M25" s="7"/>
      <c r="N25" s="8"/>
      <c r="O25" s="8"/>
      <c r="P25" s="8"/>
      <c r="Q25" s="18"/>
      <c r="R25" s="24"/>
      <c r="S25" s="30"/>
      <c r="T25" s="25">
        <f>Tabla1462810121416[[#This Row],[TOTAL]]/1.19</f>
        <v>0</v>
      </c>
      <c r="U25" s="27">
        <f>Tabla1462810121416[[#This Row],[NETO]]*2%</f>
        <v>0</v>
      </c>
    </row>
    <row r="26" spans="1:21" x14ac:dyDescent="0.3">
      <c r="A26" s="6"/>
      <c r="B26" s="16"/>
      <c r="F26" s="21"/>
      <c r="G26" s="12"/>
      <c r="I26" s="19"/>
      <c r="J26" s="1"/>
      <c r="L26" s="12"/>
      <c r="M26" s="7"/>
      <c r="N26" s="8"/>
      <c r="O26" s="8"/>
      <c r="P26" s="8"/>
      <c r="Q26" s="18"/>
      <c r="R26" s="24"/>
      <c r="S26" s="30"/>
      <c r="T26" s="25">
        <f>Tabla1462810121416[[#This Row],[TOTAL]]/1.19</f>
        <v>0</v>
      </c>
      <c r="U26" s="27">
        <f>Tabla1462810121416[[#This Row],[NETO]]*2%</f>
        <v>0</v>
      </c>
    </row>
    <row r="27" spans="1:21" x14ac:dyDescent="0.3">
      <c r="A27" s="6"/>
      <c r="B27" s="16"/>
      <c r="F27" s="21"/>
      <c r="G27" s="12"/>
      <c r="I27" s="19"/>
      <c r="J27" s="1"/>
      <c r="L27" s="12"/>
      <c r="M27" s="7"/>
      <c r="N27" s="8"/>
      <c r="O27" s="8"/>
      <c r="P27" s="8"/>
      <c r="Q27" s="18"/>
      <c r="R27" s="24"/>
      <c r="S27" s="30"/>
      <c r="T27" s="25">
        <f>Tabla1462810121416[[#This Row],[TOTAL]]/1.19</f>
        <v>0</v>
      </c>
      <c r="U27" s="27">
        <f>Tabla1462810121416[[#This Row],[NETO]]*2%</f>
        <v>0</v>
      </c>
    </row>
    <row r="28" spans="1:21" x14ac:dyDescent="0.3">
      <c r="A28" s="6"/>
      <c r="B28" s="16"/>
      <c r="F28" s="21"/>
      <c r="G28" s="12"/>
      <c r="I28" s="19"/>
      <c r="J28" s="1"/>
      <c r="M28" s="7"/>
      <c r="N28" s="8"/>
      <c r="O28" s="8"/>
      <c r="P28" s="8"/>
      <c r="Q28" s="18"/>
      <c r="R28" s="24"/>
      <c r="S28" s="30"/>
      <c r="T28" s="25">
        <f>Tabla1462810121416[[#This Row],[TOTAL]]/1.19</f>
        <v>0</v>
      </c>
      <c r="U28" s="27">
        <f>Tabla1462810121416[[#This Row],[NETO]]*2%</f>
        <v>0</v>
      </c>
    </row>
    <row r="29" spans="1:21" x14ac:dyDescent="0.3">
      <c r="A29" s="6"/>
      <c r="B29" s="16"/>
      <c r="F29" s="41"/>
      <c r="G29" s="12"/>
      <c r="I29" s="19"/>
      <c r="J29" s="1"/>
      <c r="M29" s="7"/>
      <c r="N29" s="8"/>
      <c r="O29" s="8"/>
      <c r="P29" s="8"/>
      <c r="Q29" s="18"/>
      <c r="R29" s="24"/>
      <c r="S29" s="30"/>
      <c r="T29" s="25">
        <f>Tabla1462810121416[[#This Row],[TOTAL]]/1.19</f>
        <v>0</v>
      </c>
      <c r="U29" s="27">
        <f>Tabla1462810121416[[#This Row],[NETO]]*2%</f>
        <v>0</v>
      </c>
    </row>
    <row r="30" spans="1:21" x14ac:dyDescent="0.3">
      <c r="A30" s="6"/>
      <c r="B30" s="16"/>
      <c r="F30" s="21"/>
      <c r="G30" s="12"/>
      <c r="I30" s="19"/>
      <c r="J30" s="1"/>
      <c r="M30" s="7"/>
      <c r="N30" s="8"/>
      <c r="O30" s="8"/>
      <c r="P30" s="8"/>
      <c r="Q30" s="18"/>
      <c r="R30" s="24"/>
      <c r="S30" s="30"/>
      <c r="T30" s="25">
        <f>Tabla1462810121416[[#This Row],[TOTAL]]/1.19</f>
        <v>0</v>
      </c>
      <c r="U30" s="27">
        <f>Tabla1462810121416[[#This Row],[NETO]]*2%</f>
        <v>0</v>
      </c>
    </row>
    <row r="31" spans="1:21" x14ac:dyDescent="0.3">
      <c r="A31" s="6"/>
      <c r="B31" s="16"/>
      <c r="F31" s="21"/>
      <c r="G31" s="12"/>
      <c r="I31" s="19"/>
      <c r="J31" s="1"/>
      <c r="M31" s="7"/>
      <c r="N31" s="8"/>
      <c r="O31" s="8"/>
      <c r="P31" s="8"/>
      <c r="Q31" s="18"/>
      <c r="R31" s="24"/>
      <c r="S31" s="30"/>
      <c r="T31" s="25">
        <f>Tabla1462810121416[[#This Row],[TOTAL]]/1.19</f>
        <v>0</v>
      </c>
      <c r="U31" s="27">
        <f>Tabla1462810121416[[#This Row],[NETO]]*2%</f>
        <v>0</v>
      </c>
    </row>
    <row r="32" spans="1:21" x14ac:dyDescent="0.3">
      <c r="A32" s="6"/>
      <c r="B32" s="16"/>
      <c r="F32" s="21"/>
      <c r="G32" s="12"/>
      <c r="I32" s="19"/>
      <c r="J32" s="1"/>
      <c r="M32" s="7"/>
      <c r="N32" s="8"/>
      <c r="O32" s="8"/>
      <c r="P32" s="8"/>
      <c r="Q32" s="18"/>
      <c r="R32" s="24"/>
      <c r="S32" s="30"/>
      <c r="T32" s="25">
        <f>Tabla1462810121416[[#This Row],[TOTAL]]/1.19</f>
        <v>0</v>
      </c>
      <c r="U32" s="27">
        <f>Tabla1462810121416[[#This Row],[NETO]]*2%</f>
        <v>0</v>
      </c>
    </row>
    <row r="33" spans="1:21" x14ac:dyDescent="0.3">
      <c r="A33" s="6"/>
      <c r="B33" s="16"/>
      <c r="F33" s="21"/>
      <c r="G33" s="12"/>
      <c r="I33" s="19"/>
      <c r="J33" s="1"/>
      <c r="M33" s="7"/>
      <c r="N33" s="8"/>
      <c r="O33" s="8"/>
      <c r="P33" s="8"/>
      <c r="Q33" s="18"/>
      <c r="R33" s="24"/>
      <c r="S33" s="30"/>
      <c r="T33" s="25">
        <f>Tabla1462810121416[[#This Row],[TOTAL]]/1.19</f>
        <v>0</v>
      </c>
      <c r="U33" s="27">
        <f>Tabla1462810121416[[#This Row],[NETO]]*2%</f>
        <v>0</v>
      </c>
    </row>
    <row r="34" spans="1:21" x14ac:dyDescent="0.3">
      <c r="A34" s="6"/>
      <c r="B34" s="16"/>
      <c r="F34" s="21"/>
      <c r="G34" s="12"/>
      <c r="I34" s="19"/>
      <c r="J34" s="1"/>
      <c r="M34" s="7"/>
      <c r="N34" s="8"/>
      <c r="O34" s="8"/>
      <c r="P34" s="8"/>
      <c r="Q34" s="18"/>
      <c r="R34" s="24"/>
      <c r="S34" s="30"/>
      <c r="T34" s="25">
        <f>Tabla1462810121416[[#This Row],[TOTAL]]/1.19</f>
        <v>0</v>
      </c>
      <c r="U34" s="27">
        <f>Tabla1462810121416[[#This Row],[NETO]]*2%</f>
        <v>0</v>
      </c>
    </row>
    <row r="35" spans="1:21" x14ac:dyDescent="0.3">
      <c r="A35" s="6"/>
      <c r="B35" s="16"/>
      <c r="F35" s="21"/>
      <c r="G35" s="12"/>
      <c r="I35" s="19"/>
      <c r="J35" s="1"/>
      <c r="M35" s="7"/>
      <c r="N35" s="8"/>
      <c r="O35" s="8"/>
      <c r="P35" s="8"/>
      <c r="Q35" s="18"/>
      <c r="R35" s="24"/>
      <c r="S35" s="30"/>
      <c r="T35" s="25">
        <f>Tabla1462810121416[[#This Row],[TOTAL]]/1.19</f>
        <v>0</v>
      </c>
      <c r="U35" s="27">
        <f>Tabla1462810121416[[#This Row],[NETO]]*2%</f>
        <v>0</v>
      </c>
    </row>
    <row r="36" spans="1:21" x14ac:dyDescent="0.3">
      <c r="A36" s="6"/>
      <c r="B36" s="16"/>
      <c r="F36" s="21"/>
      <c r="G36" s="12"/>
      <c r="I36" s="19"/>
      <c r="J36" s="1"/>
      <c r="M36" s="7"/>
      <c r="N36" s="8"/>
      <c r="O36" s="8"/>
      <c r="P36" s="8"/>
      <c r="Q36" s="18"/>
      <c r="R36" s="24"/>
      <c r="S36" s="30"/>
      <c r="T36" s="25">
        <f>Tabla1462810121416[[#This Row],[TOTAL]]/1.19</f>
        <v>0</v>
      </c>
      <c r="U36" s="27">
        <f>Tabla1462810121416[[#This Row],[NETO]]*2%</f>
        <v>0</v>
      </c>
    </row>
    <row r="37" spans="1:21" x14ac:dyDescent="0.3">
      <c r="A37" s="6"/>
      <c r="B37" s="16"/>
      <c r="F37" s="21"/>
      <c r="G37" s="12"/>
      <c r="I37" s="19"/>
      <c r="J37" s="1"/>
      <c r="M37" s="7"/>
      <c r="N37" s="8"/>
      <c r="O37" s="8"/>
      <c r="P37" s="8"/>
      <c r="Q37" s="18"/>
      <c r="R37" s="24"/>
      <c r="S37" s="30"/>
      <c r="T37" s="25">
        <f>Tabla1462810121416[[#This Row],[TOTAL]]/1.19</f>
        <v>0</v>
      </c>
      <c r="U37" s="27">
        <f>Tabla1462810121416[[#This Row],[NETO]]*2%</f>
        <v>0</v>
      </c>
    </row>
    <row r="38" spans="1:21" x14ac:dyDescent="0.3">
      <c r="A38" s="6"/>
      <c r="B38" s="16"/>
      <c r="F38" s="21"/>
      <c r="G38" s="12"/>
      <c r="I38" s="19"/>
      <c r="J38" s="1"/>
      <c r="M38" s="7"/>
      <c r="N38" s="8"/>
      <c r="O38" s="8"/>
      <c r="P38" s="8"/>
      <c r="Q38" s="18"/>
      <c r="R38" s="24"/>
      <c r="S38" s="30"/>
      <c r="T38" s="25">
        <f>Tabla1462810121416[[#This Row],[TOTAL]]/1.19</f>
        <v>0</v>
      </c>
      <c r="U38" s="27">
        <f>Tabla1462810121416[[#This Row],[NETO]]*2%</f>
        <v>0</v>
      </c>
    </row>
    <row r="39" spans="1:21" x14ac:dyDescent="0.3">
      <c r="A39" s="6"/>
      <c r="B39" s="16"/>
      <c r="F39" s="21"/>
      <c r="G39" s="12"/>
      <c r="H39" s="12"/>
      <c r="I39" s="12"/>
      <c r="J39" s="12"/>
      <c r="K39" s="12"/>
      <c r="L39" s="12"/>
      <c r="M39" s="7"/>
      <c r="N39" s="8"/>
      <c r="O39" s="8"/>
      <c r="P39" s="8"/>
      <c r="Q39" s="18"/>
      <c r="R39" s="24"/>
      <c r="S39" s="30"/>
      <c r="T39" s="25">
        <f>Tabla1462810121416[[#This Row],[TOTAL]]/1.19</f>
        <v>0</v>
      </c>
      <c r="U39" s="27">
        <f>Tabla1462810121416[[#This Row],[NETO]]*2%</f>
        <v>0</v>
      </c>
    </row>
    <row r="40" spans="1:21" x14ac:dyDescent="0.3">
      <c r="A40" s="6"/>
      <c r="B40" s="16"/>
      <c r="F40" s="21"/>
      <c r="G40" s="12"/>
      <c r="I40" s="19"/>
      <c r="J40" s="1"/>
      <c r="M40" s="7"/>
      <c r="N40" s="8"/>
      <c r="O40" s="8"/>
      <c r="P40" s="8"/>
      <c r="Q40" s="18"/>
      <c r="R40" s="24"/>
      <c r="S40" s="30"/>
      <c r="T40" s="25">
        <f>Tabla1462810121416[[#This Row],[TOTAL]]/1.19</f>
        <v>0</v>
      </c>
      <c r="U40" s="27">
        <f>Tabla1462810121416[[#This Row],[NETO]]*2%</f>
        <v>0</v>
      </c>
    </row>
    <row r="41" spans="1:21" x14ac:dyDescent="0.3">
      <c r="A41" s="6"/>
      <c r="B41" s="16"/>
      <c r="G41" s="12"/>
      <c r="I41" s="19"/>
      <c r="J41" s="1"/>
      <c r="M41" s="7"/>
      <c r="N41" s="8"/>
      <c r="O41" s="8"/>
      <c r="P41" s="8"/>
      <c r="Q41" s="18"/>
      <c r="R41" s="24"/>
      <c r="S41" s="30"/>
      <c r="T41" s="25">
        <f>Tabla1462810121416[[#This Row],[TOTAL]]/1.19</f>
        <v>0</v>
      </c>
      <c r="U41" s="27">
        <f>Tabla1462810121416[[#This Row],[NETO]]*2%</f>
        <v>0</v>
      </c>
    </row>
    <row r="42" spans="1:21" x14ac:dyDescent="0.3">
      <c r="A42" s="6"/>
      <c r="B42" s="16"/>
      <c r="F42" s="21"/>
      <c r="G42" s="12"/>
      <c r="I42" s="19"/>
      <c r="J42" s="1"/>
      <c r="M42" s="7"/>
      <c r="N42" s="8"/>
      <c r="O42" s="8"/>
      <c r="P42" s="8"/>
      <c r="Q42" s="18"/>
      <c r="R42" s="24"/>
      <c r="S42" s="30"/>
      <c r="T42" s="25">
        <f>Tabla1462810121416[[#This Row],[TOTAL]]/1.19</f>
        <v>0</v>
      </c>
      <c r="U42" s="27">
        <f>Tabla1462810121416[[#This Row],[NETO]]*2%</f>
        <v>0</v>
      </c>
    </row>
    <row r="43" spans="1:21" x14ac:dyDescent="0.3">
      <c r="A43" s="6"/>
      <c r="B43" s="16"/>
      <c r="F43" s="21"/>
      <c r="G43" s="12"/>
      <c r="I43" s="19"/>
      <c r="J43" s="1"/>
      <c r="M43" s="7"/>
      <c r="N43" s="8"/>
      <c r="O43" s="8"/>
      <c r="P43" s="8"/>
      <c r="Q43" s="18"/>
      <c r="R43" s="24"/>
      <c r="S43" s="30"/>
      <c r="T43" s="25">
        <f>Tabla1462810121416[[#This Row],[TOTAL]]/1.19</f>
        <v>0</v>
      </c>
      <c r="U43" s="27">
        <f>Tabla1462810121416[[#This Row],[NETO]]*2%</f>
        <v>0</v>
      </c>
    </row>
    <row r="44" spans="1:21" x14ac:dyDescent="0.3">
      <c r="A44" s="6"/>
      <c r="B44" s="16"/>
      <c r="F44" s="34"/>
      <c r="G44" s="12"/>
      <c r="I44" s="19"/>
      <c r="J44" s="1"/>
      <c r="M44" s="7"/>
      <c r="N44" s="8"/>
      <c r="O44" s="8"/>
      <c r="P44" s="8"/>
      <c r="Q44" s="18"/>
      <c r="R44" s="24"/>
      <c r="S44" s="30"/>
      <c r="T44" s="25">
        <f>Tabla1462810121416[[#This Row],[TOTAL]]/1.19</f>
        <v>0</v>
      </c>
      <c r="U44" s="27">
        <f>Tabla1462810121416[[#This Row],[NETO]]*2%</f>
        <v>0</v>
      </c>
    </row>
    <row r="45" spans="1:21" x14ac:dyDescent="0.3">
      <c r="A45" s="6"/>
      <c r="B45" s="16"/>
      <c r="F45" s="21"/>
      <c r="G45" s="12"/>
      <c r="I45" s="19"/>
      <c r="J45" s="1"/>
      <c r="M45" s="7"/>
      <c r="N45" s="8"/>
      <c r="O45" s="8"/>
      <c r="P45" s="8"/>
      <c r="Q45" s="18"/>
      <c r="R45" s="24"/>
      <c r="S45" s="30"/>
      <c r="T45" s="25">
        <f>Tabla1462810121416[[#This Row],[TOTAL]]/1.19</f>
        <v>0</v>
      </c>
      <c r="U45" s="27">
        <f>Tabla1462810121416[[#This Row],[NETO]]*2%</f>
        <v>0</v>
      </c>
    </row>
    <row r="46" spans="1:21" x14ac:dyDescent="0.3">
      <c r="A46" s="6"/>
      <c r="B46" s="16"/>
      <c r="F46" s="21"/>
      <c r="G46" s="12"/>
      <c r="I46" s="19"/>
      <c r="J46" s="1"/>
      <c r="M46" s="7"/>
      <c r="N46" s="8"/>
      <c r="O46" s="8"/>
      <c r="P46" s="8"/>
      <c r="Q46" s="18"/>
      <c r="R46" s="24"/>
      <c r="S46" s="30"/>
      <c r="T46" s="25">
        <f>Tabla1462810121416[[#This Row],[TOTAL]]/1.19</f>
        <v>0</v>
      </c>
      <c r="U46" s="27">
        <f>Tabla1462810121416[[#This Row],[NETO]]*2%</f>
        <v>0</v>
      </c>
    </row>
    <row r="47" spans="1:21" x14ac:dyDescent="0.3">
      <c r="A47" s="6"/>
      <c r="B47" s="16"/>
      <c r="F47" s="21"/>
      <c r="G47" s="12"/>
      <c r="I47" s="19"/>
      <c r="J47" s="1"/>
      <c r="M47" s="7"/>
      <c r="N47" s="8"/>
      <c r="O47" s="8"/>
      <c r="P47" s="8"/>
      <c r="Q47" s="18"/>
      <c r="R47" s="24"/>
      <c r="S47" s="30"/>
      <c r="T47" s="25">
        <f>Tabla1462810121416[[#This Row],[TOTAL]]/1.19</f>
        <v>0</v>
      </c>
      <c r="U47" s="27">
        <f>Tabla1462810121416[[#This Row],[NETO]]*2%</f>
        <v>0</v>
      </c>
    </row>
    <row r="48" spans="1:21" x14ac:dyDescent="0.3">
      <c r="A48" s="6"/>
      <c r="B48" s="16"/>
      <c r="F48" s="21"/>
      <c r="G48" s="12"/>
      <c r="I48" s="19"/>
      <c r="J48" s="1"/>
      <c r="M48" s="7"/>
      <c r="N48" s="8"/>
      <c r="O48" s="8"/>
      <c r="P48" s="8"/>
      <c r="Q48" s="18"/>
      <c r="R48" s="24"/>
      <c r="S48" s="30"/>
      <c r="T48" s="25">
        <f t="shared" ref="T48:T64" si="0">S48/1.19</f>
        <v>0</v>
      </c>
      <c r="U48" s="27">
        <f>Tabla1462810121416[[#This Row],[NETO]]*2%</f>
        <v>0</v>
      </c>
    </row>
    <row r="49" spans="1:29" x14ac:dyDescent="0.3">
      <c r="A49" s="6"/>
      <c r="B49" s="16"/>
      <c r="F49" s="21"/>
      <c r="G49" s="12"/>
      <c r="I49" s="19"/>
      <c r="J49" s="1"/>
      <c r="M49" s="7"/>
      <c r="N49" s="8"/>
      <c r="O49" s="8"/>
      <c r="P49" s="8"/>
      <c r="Q49" s="18"/>
      <c r="R49" s="24"/>
      <c r="S49" s="30"/>
      <c r="T49" s="25">
        <f t="shared" si="0"/>
        <v>0</v>
      </c>
      <c r="U49" s="27">
        <f>Tabla1462810121416[[#This Row],[NETO]]*2%</f>
        <v>0</v>
      </c>
    </row>
    <row r="50" spans="1:29" x14ac:dyDescent="0.3">
      <c r="A50" s="6"/>
      <c r="B50" s="16"/>
      <c r="F50" s="21"/>
      <c r="G50" s="12"/>
      <c r="I50" s="19"/>
      <c r="J50" s="1"/>
      <c r="M50" s="7"/>
      <c r="N50" s="8"/>
      <c r="O50" s="8"/>
      <c r="P50" s="8"/>
      <c r="Q50" s="18"/>
      <c r="R50" s="24"/>
      <c r="S50" s="30"/>
      <c r="T50" s="25">
        <f t="shared" si="0"/>
        <v>0</v>
      </c>
      <c r="U50" s="27">
        <f>Tabla1462810121416[[#This Row],[NETO]]*2%</f>
        <v>0</v>
      </c>
    </row>
    <row r="51" spans="1:29" x14ac:dyDescent="0.3">
      <c r="A51" s="6"/>
      <c r="B51" s="16"/>
      <c r="F51" s="21"/>
      <c r="G51" s="12"/>
      <c r="I51" s="19"/>
      <c r="J51" s="1"/>
      <c r="M51" s="7"/>
      <c r="N51" s="8"/>
      <c r="O51" s="8"/>
      <c r="P51" s="8"/>
      <c r="Q51" s="18"/>
      <c r="R51" s="24"/>
      <c r="S51" s="30"/>
      <c r="T51" s="25">
        <f t="shared" si="0"/>
        <v>0</v>
      </c>
      <c r="U51" s="27">
        <f>Tabla1462810121416[[#This Row],[NETO]]*2%</f>
        <v>0</v>
      </c>
    </row>
    <row r="52" spans="1:29" x14ac:dyDescent="0.3">
      <c r="A52" s="6"/>
      <c r="B52" s="16"/>
      <c r="F52" s="21"/>
      <c r="G52" s="12"/>
      <c r="I52" s="19"/>
      <c r="J52" s="1"/>
      <c r="M52" s="7"/>
      <c r="N52" s="8"/>
      <c r="O52" s="8"/>
      <c r="P52" s="8"/>
      <c r="Q52" s="18"/>
      <c r="R52" s="24"/>
      <c r="S52" s="30"/>
      <c r="T52" s="25">
        <f t="shared" si="0"/>
        <v>0</v>
      </c>
      <c r="U52" s="27">
        <f>Tabla1462810121416[[#This Row],[NETO]]*2%</f>
        <v>0</v>
      </c>
    </row>
    <row r="53" spans="1:29" x14ac:dyDescent="0.3">
      <c r="A53" s="6"/>
      <c r="B53" s="16"/>
      <c r="F53" s="21"/>
      <c r="G53" s="12"/>
      <c r="I53" s="19"/>
      <c r="J53" s="1"/>
      <c r="M53" s="7"/>
      <c r="N53" s="8"/>
      <c r="O53" s="8"/>
      <c r="P53" s="8"/>
      <c r="Q53" s="18"/>
      <c r="R53" s="24"/>
      <c r="S53" s="30"/>
      <c r="T53" s="25">
        <f t="shared" si="0"/>
        <v>0</v>
      </c>
      <c r="U53" s="27">
        <f>Tabla1462810121416[[#This Row],[NETO]]*2%</f>
        <v>0</v>
      </c>
    </row>
    <row r="54" spans="1:29" x14ac:dyDescent="0.3">
      <c r="A54" s="6"/>
      <c r="B54" s="16"/>
      <c r="F54" s="21"/>
      <c r="G54" s="12"/>
      <c r="I54" s="19"/>
      <c r="J54" s="1"/>
      <c r="M54" s="7"/>
      <c r="N54" s="8"/>
      <c r="O54" s="8"/>
      <c r="P54" s="8"/>
      <c r="Q54" s="18"/>
      <c r="R54" s="24"/>
      <c r="S54" s="30"/>
      <c r="T54" s="25">
        <f t="shared" si="0"/>
        <v>0</v>
      </c>
      <c r="U54" s="27">
        <f>Tabla1462810121416[[#This Row],[NETO]]*2%</f>
        <v>0</v>
      </c>
    </row>
    <row r="55" spans="1:29" x14ac:dyDescent="0.3">
      <c r="A55" s="6"/>
      <c r="B55" s="16"/>
      <c r="F55" s="21"/>
      <c r="G55" s="12"/>
      <c r="H55" s="12"/>
      <c r="I55" s="12"/>
      <c r="J55" s="12"/>
      <c r="K55" s="12"/>
      <c r="L55" s="12"/>
      <c r="M55" s="7"/>
      <c r="N55" s="8"/>
      <c r="O55" s="8"/>
      <c r="P55" s="8"/>
      <c r="Q55" s="18"/>
      <c r="R55" s="24"/>
      <c r="S55" s="30"/>
      <c r="T55" s="25">
        <f t="shared" si="0"/>
        <v>0</v>
      </c>
      <c r="U55" s="27">
        <f>Tabla1462810121416[[#This Row],[NETO]]*2%</f>
        <v>0</v>
      </c>
    </row>
    <row r="56" spans="1:29" x14ac:dyDescent="0.3">
      <c r="A56" s="6"/>
      <c r="B56" s="16"/>
      <c r="F56" s="21"/>
      <c r="G56" s="12"/>
      <c r="I56" s="19"/>
      <c r="J56" s="1"/>
      <c r="M56" s="7"/>
      <c r="N56" s="8"/>
      <c r="O56" s="8"/>
      <c r="P56" s="8"/>
      <c r="Q56" s="18"/>
      <c r="R56" s="24"/>
      <c r="S56" s="30"/>
      <c r="T56" s="25">
        <f t="shared" si="0"/>
        <v>0</v>
      </c>
      <c r="U56" s="27">
        <f>Tabla1462810121416[[#This Row],[NETO]]*2%</f>
        <v>0</v>
      </c>
    </row>
    <row r="57" spans="1:29" x14ac:dyDescent="0.3">
      <c r="A57" s="6"/>
      <c r="B57" s="16"/>
      <c r="F57" s="21"/>
      <c r="G57" s="12"/>
      <c r="I57" s="19"/>
      <c r="J57" s="1"/>
      <c r="M57" s="7"/>
      <c r="N57" s="8"/>
      <c r="O57" s="8"/>
      <c r="P57" s="8"/>
      <c r="Q57" s="18"/>
      <c r="R57" s="24"/>
      <c r="S57" s="30"/>
      <c r="T57" s="25">
        <f t="shared" si="0"/>
        <v>0</v>
      </c>
      <c r="U57" s="27">
        <f>Tabla1462810121416[[#This Row],[NETO]]*2%</f>
        <v>0</v>
      </c>
    </row>
    <row r="58" spans="1:29" x14ac:dyDescent="0.3">
      <c r="A58" s="6"/>
      <c r="B58" s="16"/>
      <c r="F58" s="21"/>
      <c r="G58" s="12"/>
      <c r="I58" s="19"/>
      <c r="J58" s="1"/>
      <c r="M58" s="7"/>
      <c r="N58" s="8"/>
      <c r="O58" s="8"/>
      <c r="P58" s="8"/>
      <c r="Q58" s="18"/>
      <c r="R58" s="24"/>
      <c r="S58" s="30"/>
      <c r="T58" s="25">
        <f t="shared" si="0"/>
        <v>0</v>
      </c>
      <c r="U58" s="27">
        <f>Tabla1462810121416[[#This Row],[NETO]]*2%</f>
        <v>0</v>
      </c>
    </row>
    <row r="59" spans="1:29" x14ac:dyDescent="0.3">
      <c r="A59" s="6"/>
      <c r="B59" s="16"/>
      <c r="F59" s="21"/>
      <c r="G59" s="12"/>
      <c r="I59" s="19"/>
      <c r="J59" s="1"/>
      <c r="M59" s="7"/>
      <c r="N59" s="8"/>
      <c r="O59" s="8"/>
      <c r="P59" s="8"/>
      <c r="Q59" s="18"/>
      <c r="R59" s="24"/>
      <c r="S59" s="30"/>
      <c r="T59" s="25">
        <f t="shared" si="0"/>
        <v>0</v>
      </c>
      <c r="U59" s="27">
        <f>Tabla1462810121416[[#This Row],[NETO]]*2%</f>
        <v>0</v>
      </c>
    </row>
    <row r="60" spans="1:29" x14ac:dyDescent="0.3">
      <c r="A60" s="6"/>
      <c r="B60" s="16"/>
      <c r="F60" s="21"/>
      <c r="G60" s="12"/>
      <c r="I60" s="19"/>
      <c r="J60" s="1"/>
      <c r="M60" s="7"/>
      <c r="N60" s="8"/>
      <c r="O60" s="8"/>
      <c r="P60" s="8"/>
      <c r="Q60" s="18"/>
      <c r="R60" s="24"/>
      <c r="S60" s="30"/>
      <c r="T60" s="25">
        <f t="shared" si="0"/>
        <v>0</v>
      </c>
      <c r="U60" s="27">
        <f>Tabla1462810121416[[#This Row],[NETO]]*2%</f>
        <v>0</v>
      </c>
    </row>
    <row r="61" spans="1:29" x14ac:dyDescent="0.3">
      <c r="A61" s="6"/>
      <c r="B61" s="16"/>
      <c r="F61" s="21"/>
      <c r="G61" s="12"/>
      <c r="I61" s="19"/>
      <c r="J61" s="1"/>
      <c r="M61" s="7"/>
      <c r="N61" s="8"/>
      <c r="O61" s="8"/>
      <c r="P61" s="8"/>
      <c r="Q61" s="18"/>
      <c r="R61" s="24"/>
      <c r="S61" s="30"/>
      <c r="T61" s="25">
        <f t="shared" si="0"/>
        <v>0</v>
      </c>
      <c r="U61" s="27">
        <f>Tabla1462810121416[[#This Row],[NETO]]*2%</f>
        <v>0</v>
      </c>
      <c r="Z61" s="98"/>
      <c r="AA61" s="99"/>
      <c r="AB61" s="99"/>
      <c r="AC61" s="99"/>
    </row>
    <row r="62" spans="1:29" x14ac:dyDescent="0.3">
      <c r="A62" s="6"/>
      <c r="B62" s="16"/>
      <c r="F62" s="21"/>
      <c r="G62" s="12"/>
      <c r="I62" s="19"/>
      <c r="J62" s="1"/>
      <c r="M62" s="7"/>
      <c r="N62" s="8"/>
      <c r="O62" s="8"/>
      <c r="P62" s="8"/>
      <c r="Q62" s="18"/>
      <c r="R62" s="24"/>
      <c r="S62" s="30"/>
      <c r="T62" s="25">
        <f t="shared" si="0"/>
        <v>0</v>
      </c>
      <c r="U62" s="27">
        <f>Tabla1462810121416[[#This Row],[NETO]]*2%</f>
        <v>0</v>
      </c>
      <c r="Z62" s="98"/>
      <c r="AA62" s="99"/>
      <c r="AB62" s="99"/>
      <c r="AC62" s="99"/>
    </row>
    <row r="63" spans="1:29" x14ac:dyDescent="0.3">
      <c r="A63" s="6"/>
      <c r="F63" s="21"/>
      <c r="G63" s="12"/>
      <c r="I63" s="19"/>
      <c r="J63" s="1"/>
      <c r="M63" s="7"/>
      <c r="N63" s="8"/>
      <c r="O63" s="8"/>
      <c r="P63" s="8"/>
      <c r="Q63" s="18"/>
      <c r="R63" s="24"/>
      <c r="S63" s="30"/>
      <c r="T63" s="25">
        <f t="shared" si="0"/>
        <v>0</v>
      </c>
      <c r="U63" s="27">
        <f>Tabla1462810121416[[#This Row],[NETO]]*2%</f>
        <v>0</v>
      </c>
      <c r="Z63" s="98"/>
      <c r="AA63" s="99"/>
      <c r="AB63" s="99"/>
      <c r="AC63" s="99"/>
    </row>
    <row r="64" spans="1:29" x14ac:dyDescent="0.3">
      <c r="A64" s="6"/>
      <c r="F64" s="21"/>
      <c r="G64" s="12"/>
      <c r="I64" s="19"/>
      <c r="J64" s="1"/>
      <c r="M64" s="7"/>
      <c r="N64" s="8"/>
      <c r="O64" s="8"/>
      <c r="P64" s="8"/>
      <c r="Q64" s="18"/>
      <c r="R64" s="24"/>
      <c r="S64" s="30"/>
      <c r="T64" s="25">
        <f t="shared" si="0"/>
        <v>0</v>
      </c>
      <c r="U64" s="27">
        <f>Tabla1462810121416[[#This Row],[NETO]]*2%</f>
        <v>0</v>
      </c>
      <c r="Z64" s="136"/>
      <c r="AA64" s="136"/>
      <c r="AB64" s="100"/>
      <c r="AC64" s="101"/>
    </row>
    <row r="65" spans="1:29" ht="15" thickBot="1" x14ac:dyDescent="0.35">
      <c r="A65" s="5" t="s">
        <v>18</v>
      </c>
      <c r="B65" s="17">
        <f>COUNT(B3:B62)</f>
        <v>0</v>
      </c>
      <c r="C65" s="4"/>
      <c r="D65" s="4"/>
      <c r="E65" s="4"/>
      <c r="F65" s="22"/>
      <c r="G65" s="13"/>
      <c r="H65" s="14"/>
      <c r="I65" s="20"/>
      <c r="J65" s="23"/>
      <c r="K65" s="14"/>
      <c r="L65" s="14"/>
      <c r="M65" s="9"/>
      <c r="N65" s="10"/>
      <c r="O65" s="10"/>
      <c r="P65" s="10"/>
      <c r="Q65" s="11"/>
      <c r="R65" s="31"/>
      <c r="S65" s="32">
        <f>SUM(S3:S64)</f>
        <v>0</v>
      </c>
      <c r="T65" s="32">
        <f>SUM(T3:T64)</f>
        <v>0</v>
      </c>
      <c r="U65" s="32">
        <f>Tabla1462810121416[[#This Row],[NETO]]*2%+Z2</f>
        <v>0</v>
      </c>
      <c r="Z65" s="102"/>
      <c r="AA65" s="103"/>
      <c r="AB65" s="103"/>
      <c r="AC65" s="104"/>
    </row>
    <row r="66" spans="1:29" x14ac:dyDescent="0.3">
      <c r="Z66" s="98"/>
      <c r="AA66" s="103"/>
      <c r="AB66" s="103"/>
      <c r="AC66" s="104"/>
    </row>
    <row r="67" spans="1:29" x14ac:dyDescent="0.3">
      <c r="T67" s="40"/>
      <c r="U67" s="39"/>
      <c r="Z67" s="98"/>
      <c r="AA67" s="99"/>
      <c r="AB67" s="99"/>
      <c r="AC67" s="105"/>
    </row>
    <row r="68" spans="1:29" x14ac:dyDescent="0.3">
      <c r="T68" s="40"/>
      <c r="U68" s="39"/>
      <c r="V68" s="39"/>
      <c r="Z68" s="98"/>
      <c r="AA68" s="99"/>
      <c r="AB68" s="99"/>
      <c r="AC68" s="99"/>
    </row>
    <row r="69" spans="1:29" x14ac:dyDescent="0.3">
      <c r="Z69" s="98"/>
      <c r="AA69" s="99"/>
      <c r="AB69" s="99"/>
      <c r="AC69" s="99"/>
    </row>
    <row r="70" spans="1:29" x14ac:dyDescent="0.3">
      <c r="Z70" s="98"/>
      <c r="AA70" s="99"/>
      <c r="AB70" s="99"/>
      <c r="AC70" s="99"/>
    </row>
  </sheetData>
  <mergeCells count="5">
    <mergeCell ref="C1:F1"/>
    <mergeCell ref="G1:L1"/>
    <mergeCell ref="M1:Q1"/>
    <mergeCell ref="R1:U1"/>
    <mergeCell ref="Z64:AA64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D736-B010-40DE-BD17-471EFB92B924}">
  <dimension ref="A1:C14"/>
  <sheetViews>
    <sheetView workbookViewId="0">
      <selection activeCell="D18" sqref="D18"/>
    </sheetView>
  </sheetViews>
  <sheetFormatPr baseColWidth="10" defaultRowHeight="14.4" x14ac:dyDescent="0.3"/>
  <cols>
    <col min="1" max="1" width="11.6640625" style="2" bestFit="1" customWidth="1"/>
    <col min="2" max="2" width="6.109375" style="2" customWidth="1"/>
    <col min="3" max="3" width="12" style="107" customWidth="1"/>
  </cols>
  <sheetData>
    <row r="1" spans="1:3" x14ac:dyDescent="0.3">
      <c r="A1" s="2" t="s">
        <v>26</v>
      </c>
      <c r="B1" s="2" t="s">
        <v>22</v>
      </c>
      <c r="C1" s="107" t="s">
        <v>27</v>
      </c>
    </row>
    <row r="2" spans="1:3" x14ac:dyDescent="0.3">
      <c r="A2" s="2" t="s">
        <v>40</v>
      </c>
      <c r="B2" s="15">
        <f>ENERO!B77</f>
        <v>47</v>
      </c>
      <c r="C2" s="106">
        <f>ENERO!T87</f>
        <v>0</v>
      </c>
    </row>
    <row r="3" spans="1:3" x14ac:dyDescent="0.3">
      <c r="A3" s="2" t="s">
        <v>41</v>
      </c>
      <c r="B3" s="15">
        <f>FEBRERO!B50</f>
        <v>28</v>
      </c>
      <c r="C3" s="106">
        <f>FEBRERO!T60</f>
        <v>0</v>
      </c>
    </row>
    <row r="4" spans="1:3" x14ac:dyDescent="0.3">
      <c r="A4" s="2" t="s">
        <v>42</v>
      </c>
      <c r="B4" s="15">
        <f>MARZO!B50</f>
        <v>45</v>
      </c>
      <c r="C4" s="106">
        <f>MARZO!T60</f>
        <v>0</v>
      </c>
    </row>
    <row r="5" spans="1:3" x14ac:dyDescent="0.3">
      <c r="A5" s="2" t="s">
        <v>43</v>
      </c>
      <c r="B5" s="15">
        <f>ABRIL!B50</f>
        <v>0</v>
      </c>
      <c r="C5" s="106">
        <f>ABRIL!T60</f>
        <v>0</v>
      </c>
    </row>
    <row r="6" spans="1:3" x14ac:dyDescent="0.3">
      <c r="A6" s="2" t="s">
        <v>28</v>
      </c>
      <c r="B6" s="15">
        <f>MAYO!B50</f>
        <v>0</v>
      </c>
      <c r="C6" s="106">
        <f>MAYO!T50</f>
        <v>0</v>
      </c>
    </row>
    <row r="7" spans="1:3" x14ac:dyDescent="0.3">
      <c r="A7" s="2" t="s">
        <v>29</v>
      </c>
      <c r="B7" s="15">
        <f>JUNIO!B52</f>
        <v>0</v>
      </c>
      <c r="C7" s="108">
        <f>JUNIO!T52</f>
        <v>0</v>
      </c>
    </row>
    <row r="8" spans="1:3" x14ac:dyDescent="0.3">
      <c r="A8" s="2" t="s">
        <v>30</v>
      </c>
      <c r="B8" s="15">
        <f>JULIO!B60</f>
        <v>0</v>
      </c>
      <c r="C8" s="108">
        <f>JULIO!T60</f>
        <v>0</v>
      </c>
    </row>
    <row r="9" spans="1:3" x14ac:dyDescent="0.3">
      <c r="A9" s="2" t="s">
        <v>31</v>
      </c>
      <c r="B9" s="15">
        <f>AGOSTO!B53</f>
        <v>0</v>
      </c>
      <c r="C9" s="108">
        <f>AGOSTO!T53</f>
        <v>0</v>
      </c>
    </row>
    <row r="10" spans="1:3" x14ac:dyDescent="0.3">
      <c r="A10" s="2" t="s">
        <v>32</v>
      </c>
      <c r="B10" s="15">
        <f>SEPTIEMBRE!B66</f>
        <v>0</v>
      </c>
      <c r="C10" s="108">
        <f>SEPTIEMBRE!T66</f>
        <v>0</v>
      </c>
    </row>
    <row r="11" spans="1:3" x14ac:dyDescent="0.3">
      <c r="A11" s="2" t="s">
        <v>33</v>
      </c>
      <c r="B11" s="15">
        <f>OCTUBRE!B72</f>
        <v>0</v>
      </c>
      <c r="C11" s="108">
        <f>OCTUBRE!T72</f>
        <v>0</v>
      </c>
    </row>
    <row r="12" spans="1:3" x14ac:dyDescent="0.3">
      <c r="A12" s="2" t="s">
        <v>34</v>
      </c>
      <c r="B12" s="15">
        <f>NOVIEMBRE!B60</f>
        <v>0</v>
      </c>
      <c r="C12" s="108">
        <f>NOVIEMBRE!T60</f>
        <v>0</v>
      </c>
    </row>
    <row r="13" spans="1:3" x14ac:dyDescent="0.3">
      <c r="A13" s="2" t="s">
        <v>35</v>
      </c>
      <c r="B13" s="15">
        <f>DICIEMBRE!B65</f>
        <v>0</v>
      </c>
      <c r="C13" s="108">
        <f>DICIEMBRE!T65</f>
        <v>0</v>
      </c>
    </row>
    <row r="14" spans="1:3" x14ac:dyDescent="0.3">
      <c r="A14" s="45" t="s">
        <v>36</v>
      </c>
      <c r="B14" s="45"/>
      <c r="C14" s="107">
        <f>SUM(C2:C13)</f>
        <v>0</v>
      </c>
    </row>
  </sheetData>
  <pageMargins left="0.7" right="0.7" top="0.75" bottom="0.75" header="0.3" footer="0.3"/>
  <pageSetup paperSize="9" orientation="portrait" r:id="rId1"/>
  <ignoredErrors>
    <ignoredError sqref="C2:C12 C13" calculatedColum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VENTAS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17</dc:creator>
  <cp:lastModifiedBy>Dell</cp:lastModifiedBy>
  <dcterms:created xsi:type="dcterms:W3CDTF">2025-05-31T00:51:19Z</dcterms:created>
  <dcterms:modified xsi:type="dcterms:W3CDTF">2026-03-02T15:03:00Z</dcterms:modified>
</cp:coreProperties>
</file>